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.rodriguez\source\Django\evaluaciones\evaluaciones_excel\"/>
    </mc:Choice>
  </mc:AlternateContent>
  <xr:revisionPtr revIDLastSave="0" documentId="13_ncr:1_{0B6F5003-6746-43E8-9CDD-B0F8050B5707}" xr6:coauthVersionLast="47" xr6:coauthVersionMax="47" xr10:uidLastSave="{00000000-0000-0000-0000-000000000000}"/>
  <bookViews>
    <workbookView xWindow="-120" yWindow="-120" windowWidth="29040" windowHeight="15720" tabRatio="781" activeTab="1" xr2:uid="{00000000-000D-0000-FFFF-FFFF00000000}"/>
  </bookViews>
  <sheets>
    <sheet name="Competencias generales" sheetId="11" r:id="rId1"/>
    <sheet name="Competencias específicas" sheetId="10" r:id="rId2"/>
    <sheet name="DATOS" sheetId="1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1" l="1"/>
  <c r="I29" i="11"/>
  <c r="I33" i="11"/>
  <c r="I41" i="11"/>
  <c r="I45" i="11"/>
  <c r="I55" i="11"/>
  <c r="I62" i="11"/>
  <c r="I68" i="11"/>
  <c r="I56" i="10"/>
  <c r="I52" i="10"/>
  <c r="I49" i="10"/>
  <c r="I46" i="10"/>
  <c r="I37" i="10"/>
  <c r="I33" i="10"/>
  <c r="I27" i="10"/>
  <c r="I24" i="10"/>
  <c r="H31" i="11"/>
  <c r="H59" i="11"/>
  <c r="O26" i="10" l="1"/>
  <c r="H43" i="10" l="1"/>
  <c r="H35" i="10"/>
  <c r="H31" i="10"/>
  <c r="H50" i="10" l="1"/>
  <c r="H47" i="10"/>
  <c r="H57" i="10"/>
  <c r="S26" i="10"/>
  <c r="H74" i="11"/>
  <c r="R28" i="11"/>
  <c r="H65" i="11"/>
  <c r="Q28" i="11"/>
  <c r="P28" i="11"/>
  <c r="H53" i="11"/>
  <c r="H43" i="11"/>
  <c r="H39" i="11"/>
  <c r="M28" i="11"/>
  <c r="L28" i="11"/>
  <c r="H27" i="11"/>
  <c r="K28" i="11"/>
  <c r="H54" i="10"/>
  <c r="R26" i="10"/>
  <c r="Q26" i="10"/>
  <c r="P26" i="10"/>
  <c r="N26" i="10"/>
  <c r="M26" i="10"/>
  <c r="L26" i="10"/>
  <c r="H25" i="10"/>
  <c r="K26" i="10"/>
  <c r="O28" i="11" l="1"/>
  <c r="N28" i="11"/>
  <c r="S28" i="11" s="1"/>
  <c r="T2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Guadalupe Preciado Sanchez</author>
  </authors>
  <commentList>
    <comment ref="K2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Guadalupe Preciado Sanchez:</t>
        </r>
        <r>
          <rPr>
            <sz val="9"/>
            <color indexed="81"/>
            <rFont val="Tahoma"/>
            <family val="2"/>
          </rPr>
          <t xml:space="preserve">
No tiene desarrollada la competencia</t>
        </r>
      </text>
    </comment>
    <comment ref="L2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Guadalupe Preciado Sanchez:</t>
        </r>
        <r>
          <rPr>
            <sz val="9"/>
            <color indexed="81"/>
            <rFont val="Tahoma"/>
            <family val="2"/>
          </rPr>
          <t xml:space="preserve">
Desarrollo de competencia
 en duda</t>
        </r>
      </text>
    </comment>
    <comment ref="M2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Guadalupe Preciado Sanchez:</t>
        </r>
        <r>
          <rPr>
            <sz val="9"/>
            <color indexed="81"/>
            <rFont val="Tahoma"/>
            <family val="2"/>
          </rPr>
          <t xml:space="preserve">
Nivel necesario para
 ocupar la posición </t>
        </r>
      </text>
    </comment>
    <comment ref="N2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Guadalupe Preciado Sanchez:</t>
        </r>
        <r>
          <rPr>
            <sz val="9"/>
            <color indexed="81"/>
            <rFont val="Tahoma"/>
            <family val="2"/>
          </rPr>
          <t xml:space="preserve">
Dominio de la competencia 
sobre saliente</t>
        </r>
      </text>
    </comment>
    <comment ref="O2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Guadalupe Preciado Sanchez:</t>
        </r>
        <r>
          <rPr>
            <sz val="9"/>
            <color indexed="81"/>
            <rFont val="Tahoma"/>
            <family val="2"/>
          </rPr>
          <t xml:space="preserve">
Excede Destacablemente
 el dominio de la competencia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Guadalupe Preciado Sanchez</author>
    <author>Carlos Alejandro Fernandez de Castro Robledo</author>
  </authors>
  <commentList>
    <comment ref="K2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Guadalupe Preciado Sanchez:</t>
        </r>
        <r>
          <rPr>
            <sz val="9"/>
            <color indexed="81"/>
            <rFont val="Tahoma"/>
            <family val="2"/>
          </rPr>
          <t xml:space="preserve">
No tiene desarrollada la competencia</t>
        </r>
      </text>
    </comment>
    <comment ref="L2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Guadalupe Preciado Sanchez:</t>
        </r>
        <r>
          <rPr>
            <sz val="9"/>
            <color indexed="81"/>
            <rFont val="Tahoma"/>
            <family val="2"/>
          </rPr>
          <t xml:space="preserve">
Desarrollo de competencia
 en duda</t>
        </r>
      </text>
    </comment>
    <comment ref="M2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Guadalupe Preciado Sanchez:</t>
        </r>
        <r>
          <rPr>
            <sz val="9"/>
            <color indexed="81"/>
            <rFont val="Tahoma"/>
            <family val="2"/>
          </rPr>
          <t xml:space="preserve">
Nivel necesario para
 ocupar la posición </t>
        </r>
      </text>
    </comment>
    <comment ref="N2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Guadalupe Preciado Sanchez:</t>
        </r>
        <r>
          <rPr>
            <sz val="9"/>
            <color indexed="81"/>
            <rFont val="Tahoma"/>
            <family val="2"/>
          </rPr>
          <t xml:space="preserve">
Dominio de la competencia 
sobre saliente</t>
        </r>
      </text>
    </comment>
    <comment ref="O2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Guadalupe Preciado Sanchez:</t>
        </r>
        <r>
          <rPr>
            <sz val="9"/>
            <color indexed="81"/>
            <rFont val="Tahoma"/>
            <family val="2"/>
          </rPr>
          <t xml:space="preserve">
Excede Destacablemente
 el dominio de la competencia</t>
        </r>
      </text>
    </comment>
    <comment ref="H27" authorId="1" shapeId="0" xr:uid="{00000000-0006-0000-0100-000006000000}">
      <text>
        <r>
          <rPr>
            <b/>
            <sz val="9"/>
            <color indexed="81"/>
            <rFont val="Tahoma"/>
            <charset val="1"/>
          </rPr>
          <t>Carlos Alejandro Fernandez de Castro Robledo:</t>
        </r>
        <r>
          <rPr>
            <sz val="9"/>
            <color indexed="81"/>
            <rFont val="Tahoma"/>
            <charset val="1"/>
          </rPr>
          <t xml:space="preserve">
No se hace por escrito tal cual en dropbox, mas bien es comunicación verbal y/o whatsapp
</t>
        </r>
      </text>
    </comment>
  </commentList>
</comments>
</file>

<file path=xl/sharedStrings.xml><?xml version="1.0" encoding="utf-8"?>
<sst xmlns="http://schemas.openxmlformats.org/spreadsheetml/2006/main" count="212" uniqueCount="166">
  <si>
    <t>Datos del evaluado:</t>
  </si>
  <si>
    <t>Nombre:</t>
  </si>
  <si>
    <t>Puesto:</t>
  </si>
  <si>
    <t>Departamento:</t>
  </si>
  <si>
    <t>Datos del evaluador</t>
  </si>
  <si>
    <t>Relación con el evaluado</t>
  </si>
  <si>
    <t>Jefe directo</t>
  </si>
  <si>
    <t>Compañero</t>
  </si>
  <si>
    <t>Subordinado</t>
  </si>
  <si>
    <t>Cliente interno</t>
  </si>
  <si>
    <t>Cliente externo</t>
  </si>
  <si>
    <t xml:space="preserve">CALIFICACIÓN </t>
  </si>
  <si>
    <t>COMPETENCIAS A EVALUAR</t>
  </si>
  <si>
    <t>FORTALEZAS  Y ÁREAS DE OPORTUNIDAD</t>
  </si>
  <si>
    <t xml:space="preserve">FORTALEZAS </t>
  </si>
  <si>
    <t>ÁREAS DE OPORTUNIDAD</t>
  </si>
  <si>
    <t>Indica algunas fortalezas y áreas de oportunidad particulares que identifiques en el evaluado</t>
  </si>
  <si>
    <t xml:space="preserve">*Tiene habilidad para trabajar con una meta común </t>
  </si>
  <si>
    <t xml:space="preserve">*Colabora con sus compañeros para alcanzar objetivos </t>
  </si>
  <si>
    <t xml:space="preserve">*Tiene una buena relación con sus compañeros </t>
  </si>
  <si>
    <t xml:space="preserve">*Ofrece ayuda de manera voluntaria </t>
  </si>
  <si>
    <t xml:space="preserve">*Se preocupa por terminar sus proceso para no afectar al equipo </t>
  </si>
  <si>
    <t>*Actua con rectitud y honestidad en sus labores</t>
  </si>
  <si>
    <t>*Se expresa abierta y honestamente</t>
  </si>
  <si>
    <t xml:space="preserve">*Asume la responsabilidad de sus errores cuando los comete </t>
  </si>
  <si>
    <t>¿Qué le sugeririas al evaluado para mejorar su desempeño personal y profesional?</t>
  </si>
  <si>
    <t xml:space="preserve"> </t>
  </si>
  <si>
    <t xml:space="preserve">Puntos </t>
  </si>
  <si>
    <t>Promedio</t>
  </si>
  <si>
    <t xml:space="preserve">Fecha: </t>
  </si>
  <si>
    <t xml:space="preserve">Escala </t>
  </si>
  <si>
    <t xml:space="preserve">RESUMEN </t>
  </si>
  <si>
    <t>PROM</t>
  </si>
  <si>
    <t xml:space="preserve">Instrucciones: Califica al evaluado en una escala del 1 a 5 en cada criterio. (Ver escala de calificación) </t>
  </si>
  <si>
    <t>operaciones</t>
  </si>
  <si>
    <t>Fruverpack</t>
  </si>
  <si>
    <t>Recursos humanos</t>
  </si>
  <si>
    <t>Cuarto frío</t>
  </si>
  <si>
    <t>Administración</t>
  </si>
  <si>
    <t>Comercialización</t>
  </si>
  <si>
    <t>Bodega chihuahua</t>
  </si>
  <si>
    <t>Colaborador</t>
  </si>
  <si>
    <t>Coordinador</t>
  </si>
  <si>
    <t>Gerente</t>
  </si>
  <si>
    <t>Director</t>
  </si>
  <si>
    <t>Actua con rectitud y honestidad en sus labores</t>
  </si>
  <si>
    <t>Se expresa abierta y honestamente</t>
  </si>
  <si>
    <t>Asume la responsabilidad de sus errores cuando los comete</t>
  </si>
  <si>
    <t>Es firme y constante en la ejecución de sus própositos</t>
  </si>
  <si>
    <t>No se conforma, insiste en lograr los objetivos</t>
  </si>
  <si>
    <t xml:space="preserve">Se involucra por completo con el logro de objetivos </t>
  </si>
  <si>
    <t>Previene y supera obstáculos que se le presenten</t>
  </si>
  <si>
    <t>Colabora y participa en la puesta en marcha de acciones acordadas</t>
  </si>
  <si>
    <t>Cumple con todas las obligaciones laborales</t>
  </si>
  <si>
    <t>Muestra disposición cuando se le llega a requerir</t>
  </si>
  <si>
    <t>Se puede contar con el cuando sea necesario</t>
  </si>
  <si>
    <t>Presenta interés de ayudar o servir cliente y proveedores</t>
  </si>
  <si>
    <t>Se esfuerza por conocer y resolver problemas del cliente</t>
  </si>
  <si>
    <t>Es excelente en el trabajo que realiza</t>
  </si>
  <si>
    <t>Tiene conocimiento amplio en los temas de su área</t>
  </si>
  <si>
    <t>Comprende los aspectos complejos de su trabajo y da soluciones</t>
  </si>
  <si>
    <t>Toma la iniciativa para aprender más de su área</t>
  </si>
  <si>
    <t>Es capaz de manejar volúmenes grandes de trabajo</t>
  </si>
  <si>
    <t>Usa el tiempo eficazmente</t>
  </si>
  <si>
    <t>Es organizado en su trabajo</t>
  </si>
  <si>
    <t>Puede desempeñar su trabajo con excelencia con o sin supervisión</t>
  </si>
  <si>
    <t>Encamina todos sus actos a logro de lo esperado</t>
  </si>
  <si>
    <t>Actúa con velocidad y sentido de urgencia en decisiones importantes</t>
  </si>
  <si>
    <t>Administra correctamente sus procesos para no afectar operación</t>
  </si>
  <si>
    <t>Mejora y mantiene altos niveles de rendimiento</t>
  </si>
  <si>
    <t xml:space="preserve">Es capaz de identificar mejoras en los procesos y sugerir cambios </t>
  </si>
  <si>
    <t>Esta abierto a aceptar soluciones nuevas</t>
  </si>
  <si>
    <t>Esta dispuesto a mejorar la productividad y rendimiento</t>
  </si>
  <si>
    <t>Tiene habilidad para trabajar con una meta en común</t>
  </si>
  <si>
    <t>Colabora con sus compañeros para alcanzar objetivos</t>
  </si>
  <si>
    <t>Tiene buena relación con sus compañeros</t>
  </si>
  <si>
    <t>Ofrece ayuda de manera voluntaria</t>
  </si>
  <si>
    <t>Entiende como su trabajo repercute en el de sus compañeros</t>
  </si>
  <si>
    <t>Se preocupa por terminar sus procesos para no afectar al equipo</t>
  </si>
  <si>
    <t>Formular las ordenes de compra y/o embarques para los diferentes tipos de empaques, de acuerdo a los pédidos respectivos y enviar la informacion a los campos y representantes de operación</t>
  </si>
  <si>
    <t>Acordar con el área de tráfico y logística el envío de los camiones para la recoleccion mediante una orden de embarque</t>
  </si>
  <si>
    <t>Consultar las remisiones del campo del día y solicita por correo electrónico con los datos específicos del embarque, la orden de compra al cliente: al comprador</t>
  </si>
  <si>
    <t>Revisar que este correcta la orden de compra enviada por el cliente (encargado de compras la orden de compra)</t>
  </si>
  <si>
    <t>Informar diariamente al Gerente de Cuartos Frios de la llegada de unidades de transporte a los patios de FRUVER</t>
  </si>
  <si>
    <t>Apoyar al auxiliar de liquidaciones con localizar el acuse de la tienda y enviar al vendedor correspondiente, en los casos necesarios.</t>
  </si>
  <si>
    <t>Informarse con el Director de operaciones la ubicación de puntos de recolección del producto, la ruta sugerida y elaborar el plan de carga</t>
  </si>
  <si>
    <t>Envíar la orden de compra a embarques y al representante de ventas de fruver que acompaña al chofer en el proceso de entrega al cliente</t>
  </si>
  <si>
    <t>Transferir inormación vía electrónica del folio y la hora al encargado de embarques, tráfico y logística y al representante de fruver de la ciudad respectiva.</t>
  </si>
  <si>
    <t>Exigir de manera oportuna la información interna y externa necesaria para el desempaño de sus funciones y evitar retrasos en su cumplimiento e informar de la falta de esta a su jefe inmediato</t>
  </si>
  <si>
    <t>Entrar a los portales de la tienda respectiva, y solicitar la cita para la entrega de mercancía. Obtiene el folio y la hora de entrega</t>
  </si>
  <si>
    <t>Verificar si los clientes solicitan mas producto para proporcionarles un buen servicio</t>
  </si>
  <si>
    <t>Responder a consultas de los clientes y proporcionar información sobre los productores y servicios de la empresa</t>
  </si>
  <si>
    <t>Dar respuestas a las quejas o reclamaciones de los clientes de manera oportuna</t>
  </si>
  <si>
    <t>Elaborar semanalmente reporte de ventas para el Director Comercial</t>
  </si>
  <si>
    <t>Jefe Directo</t>
  </si>
  <si>
    <t>ARIAS RIVERA FRANCISCO JAVIER</t>
  </si>
  <si>
    <t>ARVALLO MORALES JUAN CARLOS</t>
  </si>
  <si>
    <t>BORBON DUARTE ALEJANDRA</t>
  </si>
  <si>
    <t>CASTRO CORTEZ KAREN LILIANA</t>
  </si>
  <si>
    <t>CISCOMANI JIMENEZ LUIS FELIPE</t>
  </si>
  <si>
    <t>COSTILLA CASTRO GREGORIO</t>
  </si>
  <si>
    <t>DANIEL GALLEGOS DIEGO ISAAC</t>
  </si>
  <si>
    <t>ESPINOZA CASTILLO JORGE ALEXANDER</t>
  </si>
  <si>
    <t>ESQUER FIMBRES JORGE LUIS</t>
  </si>
  <si>
    <t>FERNANDEZ DE CASTRO CRUZ CELIA</t>
  </si>
  <si>
    <t>FERNANDEZ DE CASTRO ROBLEDO ANA GABRIELA</t>
  </si>
  <si>
    <t>FERNANDEZ DE CASTRO ROBLEDO CARLOS ALEJANDRO</t>
  </si>
  <si>
    <t>FERNANDEZ DE CASTRO ROBLEDO JESUS</t>
  </si>
  <si>
    <t>FERNANDEZ DE CASTRO ROBLEDO JOSE MARIA</t>
  </si>
  <si>
    <t>FERNANDEZ DE CASTRO ROBLEDO RICARDO</t>
  </si>
  <si>
    <t>GOMEZ OCHOA RAFAEL</t>
  </si>
  <si>
    <t>GONZALEZ ENCINAS CRISTINA</t>
  </si>
  <si>
    <t>GUERRA ROBLES FELIPE DE JESUS</t>
  </si>
  <si>
    <t>IBARRA CAMPILLO MARIA JESUS</t>
  </si>
  <si>
    <t>JAIME LOPEZ GABRIELA CONCEPCION</t>
  </si>
  <si>
    <t>JARA MORENO MONICA YADIRA</t>
  </si>
  <si>
    <t>LOPEZ MORENO JESUS MANUEL</t>
  </si>
  <si>
    <t>LOPEZ RODRIGUEZ IMELDA REBECA</t>
  </si>
  <si>
    <t>LOPEZ ROMO PEDRO</t>
  </si>
  <si>
    <t>LORETO ARVIZU MARTIN DE PORRES</t>
  </si>
  <si>
    <t>LUCERO DAVALOS FLORENCIO</t>
  </si>
  <si>
    <t>MARTINEZ GOMEZ RAUL</t>
  </si>
  <si>
    <t>MARTINEZ VASQUEZ SANTOS EDUARDO</t>
  </si>
  <si>
    <t>MIRANDA GAXIOLA YAZMIN GUADALUPE</t>
  </si>
  <si>
    <t>MOLINA GAMEZ JESUS EDMUNDO</t>
  </si>
  <si>
    <t>MORAN LOPEZ ALEJANDRA</t>
  </si>
  <si>
    <t>OLGUIN GALAZ ELSA PATRICIA</t>
  </si>
  <si>
    <t>OLIVARES GALAZ PATRICIA</t>
  </si>
  <si>
    <t>PAREDES SANCHEZ JOSE LUIS</t>
  </si>
  <si>
    <t>RABAGO MORAN MANUEL</t>
  </si>
  <si>
    <t>RAMIREZ ALVAREZ RENEE SOPHIA</t>
  </si>
  <si>
    <t>RAMIREZ CAMPAS CARMEN AIDA</t>
  </si>
  <si>
    <t>ROBLES GURROLA MARISOL</t>
  </si>
  <si>
    <t>RODRIGUEZ CAMPOY ANA LAURA</t>
  </si>
  <si>
    <t>RODRIGUEZ CAÑEZ LORENIA</t>
  </si>
  <si>
    <t>RODRIGUEZ ESPARZA JOSE ANGEL</t>
  </si>
  <si>
    <t>RODRIGUEZ GONZALEZ GERARDO</t>
  </si>
  <si>
    <t>ROMERO IBARRA ROBERTO</t>
  </si>
  <si>
    <t>ROMERO MIRANDA EFRAIN</t>
  </si>
  <si>
    <t>RUIZ CRUZ OMAR ALBERTO</t>
  </si>
  <si>
    <t>RUIZ ROMO SAANDRA ISABEL</t>
  </si>
  <si>
    <t>URREA ESCALANTE MARIO</t>
  </si>
  <si>
    <t>VARGAS LOPEZ ARMANDO</t>
  </si>
  <si>
    <t>VASQUEZ LUGO TEODORO</t>
  </si>
  <si>
    <t>VAZQUEZ ABRIL ENRIQUE ARTURO</t>
  </si>
  <si>
    <t>ZAYAS NORIEGA LUZ ELENA</t>
  </si>
  <si>
    <t>1. REGISTRAR EN TIEMPO Y FORMA EN LOS SISTEMAS LA INORMACION GENERADA EN SU AREA</t>
  </si>
  <si>
    <t>2. SEGUIMIENTO A LA LOGISTICA DE COMPRA/VENTA DE PRODUCTO</t>
  </si>
  <si>
    <t>3. VERIFICACION DE DOCUMENTACION E INFORMACION</t>
  </si>
  <si>
    <t>4. FORTALECER LA COMUNICACIÓN INTERDEPARTAMENTAL</t>
  </si>
  <si>
    <t>Elaborar pedidos en archivo Excel en ausencia del vendedor titular</t>
  </si>
  <si>
    <t>Verificar que todos los pedidos en hayan sido asignados a una caratula de embarque. Y enviar a vendedores para su revisión.</t>
  </si>
  <si>
    <t>5. SEGUIMIENTO Y CONTROL A INFORMACION EN PORTALES</t>
  </si>
  <si>
    <t>6. SOPORTE A LA GESTION DE LAS VENTAS</t>
  </si>
  <si>
    <t>7. ATENCION Y SERVICIO AL CLIENTE O PROVEEDORES</t>
  </si>
  <si>
    <t>8. ADMINISTRACION Y GENERACION DE INFORMACION</t>
  </si>
  <si>
    <t xml:space="preserve">1. Integridad </t>
  </si>
  <si>
    <t>2. Perseverancia</t>
  </si>
  <si>
    <t>3. Compromiso</t>
  </si>
  <si>
    <t>4. Orientación al cliente interno-externo</t>
  </si>
  <si>
    <t>5. Calidad en el trabajo</t>
  </si>
  <si>
    <t>6. Orientación a resultados</t>
  </si>
  <si>
    <t>7. Emprendimiento</t>
  </si>
  <si>
    <t>8. Trabajo en equipo</t>
  </si>
  <si>
    <t>Solicitud de transporte al área de tráfico</t>
  </si>
  <si>
    <t>AUTOEVALUACION DE DESEMPEÑO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</si>
</sst>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284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2848"/>
      <name val="Calibri"/>
      <family val="2"/>
      <scheme val="minor"/>
    </font>
    <font>
      <b/>
      <sz val="11"/>
      <color rgb="FF002848"/>
      <name val="Calibri"/>
      <family val="2"/>
      <scheme val="minor"/>
    </font>
    <font>
      <sz val="8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DB7B0"/>
        <bgColor indexed="64"/>
      </patternFill>
    </fill>
    <fill>
      <patternFill patternType="solid">
        <fgColor rgb="FF00284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rgb="FFBDD7E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 style="thin">
        <color theme="4"/>
      </right>
      <top/>
      <bottom style="thick">
        <color rgb="FF1F4E78"/>
      </bottom>
      <diagonal/>
    </border>
    <border>
      <left style="thin">
        <color theme="4"/>
      </left>
      <right style="thin">
        <color theme="4"/>
      </right>
      <top/>
      <bottom style="thick">
        <color rgb="FF2F75B5"/>
      </bottom>
      <diagonal/>
    </border>
    <border>
      <left style="thin">
        <color theme="4"/>
      </left>
      <right style="thin">
        <color theme="4"/>
      </right>
      <top/>
      <bottom style="thick">
        <color rgb="FF9BC2E6"/>
      </bottom>
      <diagonal/>
    </border>
    <border>
      <left style="thin">
        <color theme="4"/>
      </left>
      <right style="thin">
        <color theme="4"/>
      </right>
      <top/>
      <bottom style="thick">
        <color rgb="FFDDEBF7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thin">
        <color indexed="64"/>
      </bottom>
      <diagonal/>
    </border>
    <border>
      <left style="medium">
        <color theme="4"/>
      </left>
      <right style="thin">
        <color theme="4"/>
      </right>
      <top style="thin">
        <color indexed="6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indexed="64"/>
      </top>
      <bottom style="medium">
        <color theme="4"/>
      </bottom>
      <diagonal/>
    </border>
    <border>
      <left/>
      <right style="thin">
        <color theme="4"/>
      </right>
      <top style="thin">
        <color indexed="64"/>
      </top>
      <bottom style="medium">
        <color theme="4"/>
      </bottom>
      <diagonal/>
    </border>
    <border>
      <left style="thin">
        <color theme="4"/>
      </left>
      <right/>
      <top style="thin">
        <color indexed="6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</borders>
  <cellStyleXfs count="2">
    <xf numFmtId="0" fontId="0" fillId="0" borderId="0"/>
    <xf numFmtId="0" fontId="14" fillId="0" borderId="0"/>
  </cellStyleXfs>
  <cellXfs count="119">
    <xf numFmtId="0" fontId="0" fillId="0" borderId="0" xfId="0"/>
    <xf numFmtId="0" fontId="2" fillId="0" borderId="0" xfId="0" applyFont="1"/>
    <xf numFmtId="0" fontId="0" fillId="0" borderId="1" xfId="0" applyBorder="1"/>
    <xf numFmtId="1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horizontal="right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8" fillId="0" borderId="0" xfId="0" applyFont="1"/>
    <xf numFmtId="0" fontId="11" fillId="0" borderId="42" xfId="0" applyFont="1" applyBorder="1" applyAlignment="1">
      <alignment horizontal="center" wrapText="1"/>
    </xf>
    <xf numFmtId="0" fontId="11" fillId="0" borderId="43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7" fillId="0" borderId="35" xfId="0" applyFont="1" applyBorder="1" applyAlignment="1">
      <alignment horizontal="center" wrapText="1"/>
    </xf>
    <xf numFmtId="0" fontId="7" fillId="0" borderId="36" xfId="0" applyFont="1" applyBorder="1" applyAlignment="1">
      <alignment horizontal="center" wrapText="1"/>
    </xf>
    <xf numFmtId="0" fontId="10" fillId="0" borderId="35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8" fontId="0" fillId="0" borderId="0" xfId="0" applyNumberFormat="1"/>
    <xf numFmtId="0" fontId="15" fillId="0" borderId="0" xfId="0" applyFont="1"/>
    <xf numFmtId="0" fontId="0" fillId="0" borderId="0" xfId="0" applyAlignment="1">
      <alignment vertical="center"/>
    </xf>
    <xf numFmtId="0" fontId="0" fillId="0" borderId="2" xfId="0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1" fillId="0" borderId="30" xfId="0" applyFont="1" applyBorder="1" applyAlignment="1">
      <alignment horizontal="center" wrapText="1"/>
    </xf>
    <xf numFmtId="0" fontId="11" fillId="0" borderId="31" xfId="0" applyFont="1" applyBorder="1" applyAlignment="1">
      <alignment horizont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9" fillId="0" borderId="38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4" fillId="3" borderId="0" xfId="0" applyFont="1" applyFill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7" fillId="0" borderId="33" xfId="0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9" fillId="0" borderId="39" xfId="0" applyFont="1" applyBorder="1" applyAlignment="1">
      <alignment horizontal="center"/>
    </xf>
    <xf numFmtId="0" fontId="0" fillId="0" borderId="1" xfId="0" applyBorder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8" fillId="0" borderId="6" xfId="0" applyFont="1" applyBorder="1" applyAlignment="1">
      <alignment horizontal="left" wrapText="1"/>
    </xf>
    <xf numFmtId="0" fontId="18" fillId="0" borderId="7" xfId="0" applyFont="1" applyBorder="1" applyAlignment="1">
      <alignment horizontal="left" wrapText="1"/>
    </xf>
    <xf numFmtId="0" fontId="18" fillId="0" borderId="8" xfId="0" applyFont="1" applyBorder="1" applyAlignment="1">
      <alignment horizontal="left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2848"/>
      <color rgb="FF3DB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466724</xdr:colOff>
      <xdr:row>0</xdr:row>
      <xdr:rowOff>0</xdr:rowOff>
    </xdr:from>
    <xdr:to>
      <xdr:col>1</xdr:col>
      <xdr:colOff>409574</xdr:colOff>
      <xdr:row>7</xdr:row>
      <xdr:rowOff>23886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24" t="10241" r="12429" b="12448"/>
        <a:stretch/>
      </xdr:blipFill>
      <xdr:spPr>
        <a:xfrm>
          <a:off x="466724" y="0"/>
          <a:ext cx="1495425" cy="13669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466724</xdr:colOff>
      <xdr:row>0</xdr:row>
      <xdr:rowOff>0</xdr:rowOff>
    </xdr:from>
    <xdr:to>
      <xdr:col>1</xdr:col>
      <xdr:colOff>191859</xdr:colOff>
      <xdr:row>7</xdr:row>
      <xdr:rowOff>23886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24" t="10241" r="12429" b="12448"/>
        <a:stretch/>
      </xdr:blipFill>
      <xdr:spPr>
        <a:xfrm>
          <a:off x="466724" y="0"/>
          <a:ext cx="1495425" cy="1366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5"/>
  <sheetViews>
    <sheetView topLeftCell="A6" zoomScale="80" zoomScaleNormal="80" workbookViewId="0">
      <selection activeCell="B11" sqref="B11:I11"/>
    </sheetView>
  </sheetViews>
  <sheetFormatPr baseColWidth="10" defaultColWidth="9.140625" defaultRowHeight="15" x14ac:dyDescent="0.25"/>
  <cols>
    <col min="1" max="1" width="23.28515625" bestFit="1" customWidth="1"/>
    <col min="3" max="3" width="5" customWidth="1"/>
    <col min="6" max="6" width="37.28515625" customWidth="1"/>
    <col min="7" max="7" width="4" customWidth="1"/>
    <col min="8" max="8" width="10.28515625" bestFit="1" customWidth="1"/>
    <col min="9" max="9" width="14.85546875" bestFit="1" customWidth="1"/>
    <col min="11" max="11" width="5.85546875" customWidth="1"/>
    <col min="12" max="12" width="6.42578125" customWidth="1"/>
    <col min="13" max="14" width="5.85546875" customWidth="1"/>
    <col min="15" max="15" width="5.7109375" customWidth="1"/>
    <col min="16" max="16" width="4.28515625" customWidth="1"/>
    <col min="17" max="17" width="6" customWidth="1"/>
    <col min="18" max="18" width="4" customWidth="1"/>
    <col min="33" max="33" width="15" bestFit="1" customWidth="1"/>
  </cols>
  <sheetData>
    <row r="1" spans="1:33" x14ac:dyDescent="0.25">
      <c r="A1" s="82"/>
      <c r="B1" s="82"/>
      <c r="C1" s="82"/>
      <c r="H1" s="5"/>
    </row>
    <row r="2" spans="1:33" ht="15.75" thickBot="1" x14ac:dyDescent="0.3">
      <c r="A2" s="82"/>
      <c r="B2" s="82"/>
      <c r="C2" s="82"/>
      <c r="H2" s="5"/>
    </row>
    <row r="3" spans="1:33" x14ac:dyDescent="0.25">
      <c r="A3" s="82"/>
      <c r="B3" s="82"/>
      <c r="C3" s="82"/>
      <c r="D3" s="83" t="s">
        <v>165</v>
      </c>
      <c r="E3" s="84"/>
      <c r="F3" s="84"/>
      <c r="G3" s="84"/>
      <c r="H3" s="84"/>
      <c r="I3" s="85"/>
    </row>
    <row r="4" spans="1:33" ht="15" customHeight="1" thickBot="1" x14ac:dyDescent="0.3">
      <c r="A4" s="82"/>
      <c r="B4" s="82"/>
      <c r="C4" s="82"/>
      <c r="D4" s="86"/>
      <c r="E4" s="87"/>
      <c r="F4" s="87"/>
      <c r="G4" s="87"/>
      <c r="H4" s="87"/>
      <c r="I4" s="88"/>
    </row>
    <row r="5" spans="1:33" ht="15" customHeight="1" x14ac:dyDescent="0.25">
      <c r="A5" s="82"/>
      <c r="B5" s="82"/>
      <c r="C5" s="82"/>
      <c r="H5" s="5"/>
    </row>
    <row r="6" spans="1:33" x14ac:dyDescent="0.25">
      <c r="A6" s="82"/>
      <c r="B6" s="82"/>
      <c r="C6" s="82"/>
      <c r="H6" s="5"/>
    </row>
    <row r="7" spans="1:33" x14ac:dyDescent="0.25">
      <c r="A7" s="82"/>
      <c r="B7" s="82"/>
      <c r="C7" s="82"/>
      <c r="H7" s="5"/>
    </row>
    <row r="8" spans="1:33" x14ac:dyDescent="0.25">
      <c r="F8" s="12" t="s">
        <v>29</v>
      </c>
      <c r="G8" s="114"/>
      <c r="H8" s="115"/>
      <c r="I8" s="115"/>
      <c r="J8" s="3"/>
    </row>
    <row r="9" spans="1:33" ht="15.75" x14ac:dyDescent="0.25">
      <c r="A9" s="90" t="s">
        <v>0</v>
      </c>
      <c r="B9" s="90"/>
      <c r="C9" s="90"/>
      <c r="D9" s="90"/>
      <c r="E9" s="90"/>
      <c r="F9" s="90"/>
      <c r="G9" s="90"/>
      <c r="H9" s="90"/>
      <c r="I9" s="90"/>
    </row>
    <row r="10" spans="1:33" x14ac:dyDescent="0.25">
      <c r="A10" s="2" t="s">
        <v>1</v>
      </c>
      <c r="B10" s="91" t="s">
        <v>133</v>
      </c>
      <c r="C10" s="91"/>
      <c r="D10" s="91"/>
      <c r="E10" s="91"/>
      <c r="F10" s="91"/>
      <c r="G10" s="91"/>
      <c r="H10" s="91"/>
      <c r="I10" s="91"/>
    </row>
    <row r="11" spans="1:33" x14ac:dyDescent="0.25">
      <c r="A11" s="2" t="s">
        <v>3</v>
      </c>
      <c r="B11" s="91" t="s">
        <v>39</v>
      </c>
      <c r="C11" s="91"/>
      <c r="D11" s="91"/>
      <c r="E11" s="91"/>
      <c r="F11" s="91"/>
      <c r="G11" s="91"/>
      <c r="H11" s="91"/>
      <c r="I11" s="91"/>
    </row>
    <row r="12" spans="1:33" x14ac:dyDescent="0.25">
      <c r="A12" s="2" t="s">
        <v>2</v>
      </c>
      <c r="B12" s="91" t="s">
        <v>41</v>
      </c>
      <c r="C12" s="91"/>
      <c r="D12" s="91"/>
      <c r="E12" s="91"/>
      <c r="F12" s="91"/>
      <c r="G12" s="91"/>
      <c r="H12" s="91"/>
      <c r="I12" s="91"/>
    </row>
    <row r="13" spans="1:33" x14ac:dyDescent="0.25">
      <c r="H13" s="5"/>
      <c r="AG13" s="1" t="s">
        <v>6</v>
      </c>
    </row>
    <row r="14" spans="1:33" x14ac:dyDescent="0.25">
      <c r="H14" s="5"/>
      <c r="J14" t="s">
        <v>26</v>
      </c>
      <c r="AG14" s="1" t="s">
        <v>7</v>
      </c>
    </row>
    <row r="15" spans="1:33" ht="15.75" x14ac:dyDescent="0.25">
      <c r="A15" s="90" t="s">
        <v>4</v>
      </c>
      <c r="B15" s="90"/>
      <c r="C15" s="90"/>
      <c r="D15" s="90"/>
      <c r="E15" s="90"/>
      <c r="F15" s="90"/>
      <c r="G15" s="90"/>
      <c r="H15" s="90"/>
      <c r="I15" s="90"/>
      <c r="AG15" s="1" t="s">
        <v>8</v>
      </c>
    </row>
    <row r="16" spans="1:33" x14ac:dyDescent="0.25">
      <c r="A16" s="2" t="s">
        <v>1</v>
      </c>
      <c r="B16" s="91" t="s">
        <v>106</v>
      </c>
      <c r="C16" s="91"/>
      <c r="D16" s="91"/>
      <c r="E16" s="91"/>
      <c r="F16" s="91"/>
      <c r="G16" s="91"/>
      <c r="H16" s="91"/>
      <c r="I16" s="91"/>
      <c r="AG16" s="1" t="s">
        <v>9</v>
      </c>
    </row>
    <row r="17" spans="1:33" ht="12.75" customHeight="1" x14ac:dyDescent="0.25">
      <c r="A17" s="2" t="s">
        <v>5</v>
      </c>
      <c r="B17" s="91" t="s">
        <v>6</v>
      </c>
      <c r="C17" s="91"/>
      <c r="D17" s="91"/>
      <c r="H17" s="5"/>
      <c r="AG17" s="1" t="s">
        <v>10</v>
      </c>
    </row>
    <row r="18" spans="1:33" ht="12.75" customHeight="1" x14ac:dyDescent="0.25">
      <c r="B18" s="5"/>
      <c r="C18" s="5"/>
      <c r="D18" s="5"/>
      <c r="H18" s="5"/>
      <c r="AG18" s="1"/>
    </row>
    <row r="19" spans="1:33" ht="15.75" thickBot="1" x14ac:dyDescent="0.3">
      <c r="A19" s="19" t="s">
        <v>33</v>
      </c>
      <c r="H19" s="5"/>
      <c r="AG19" s="1"/>
    </row>
    <row r="20" spans="1:33" ht="16.5" thickBot="1" x14ac:dyDescent="0.3">
      <c r="A20" s="93" t="s">
        <v>12</v>
      </c>
      <c r="B20" s="93"/>
      <c r="C20" s="93"/>
      <c r="D20" s="93"/>
      <c r="E20" s="93"/>
      <c r="F20" s="93"/>
      <c r="G20" s="4"/>
      <c r="H20" s="81" t="s">
        <v>11</v>
      </c>
      <c r="I20" s="81"/>
      <c r="K20" s="70" t="s">
        <v>30</v>
      </c>
      <c r="L20" s="71"/>
      <c r="M20" s="71"/>
      <c r="N20" s="71"/>
      <c r="O20" s="72"/>
    </row>
    <row r="21" spans="1:33" ht="15.75" x14ac:dyDescent="0.25">
      <c r="A21" s="93"/>
      <c r="B21" s="93"/>
      <c r="C21" s="93"/>
      <c r="D21" s="93"/>
      <c r="E21" s="93"/>
      <c r="F21" s="93"/>
      <c r="G21" s="4"/>
      <c r="H21" s="73" t="s">
        <v>27</v>
      </c>
      <c r="I21" s="73" t="s">
        <v>28</v>
      </c>
      <c r="K21" s="75">
        <v>1</v>
      </c>
      <c r="L21" s="52">
        <v>2</v>
      </c>
      <c r="M21" s="75">
        <v>3</v>
      </c>
      <c r="N21" s="75">
        <v>4</v>
      </c>
      <c r="O21" s="75">
        <v>5</v>
      </c>
    </row>
    <row r="22" spans="1:33" ht="16.5" thickBot="1" x14ac:dyDescent="0.3">
      <c r="A22" s="93"/>
      <c r="B22" s="93"/>
      <c r="C22" s="93"/>
      <c r="D22" s="93"/>
      <c r="E22" s="93"/>
      <c r="F22" s="93"/>
      <c r="G22" s="4"/>
      <c r="H22" s="74"/>
      <c r="I22" s="74"/>
      <c r="K22" s="76"/>
      <c r="L22" s="77"/>
      <c r="M22" s="78"/>
      <c r="N22" s="79"/>
      <c r="O22" s="80"/>
    </row>
    <row r="23" spans="1:33" ht="17.25" thickTop="1" thickBot="1" x14ac:dyDescent="0.3">
      <c r="A23" s="57" t="s">
        <v>156</v>
      </c>
      <c r="B23" s="57"/>
      <c r="C23" s="57"/>
      <c r="D23" s="57"/>
      <c r="E23" s="57"/>
      <c r="F23" s="57"/>
      <c r="H23" s="5"/>
      <c r="I23" s="5"/>
      <c r="K23" s="10"/>
      <c r="L23" s="10"/>
      <c r="M23" s="13"/>
      <c r="N23" s="13"/>
      <c r="O23" s="13"/>
    </row>
    <row r="24" spans="1:33" ht="18" customHeight="1" thickBot="1" x14ac:dyDescent="0.3">
      <c r="A24" s="92" t="s">
        <v>45</v>
      </c>
      <c r="B24" s="92"/>
      <c r="C24" s="92"/>
      <c r="D24" s="92"/>
      <c r="E24" s="92"/>
      <c r="F24" s="92"/>
      <c r="H24" s="17">
        <v>0</v>
      </c>
      <c r="I24" s="104">
        <f>AVERAGE(H24:H26)</f>
        <v>0</v>
      </c>
      <c r="K24" s="60" t="s">
        <v>31</v>
      </c>
      <c r="L24" s="61"/>
      <c r="M24" s="61"/>
      <c r="N24" s="61"/>
      <c r="O24" s="61"/>
      <c r="P24" s="61"/>
      <c r="Q24" s="61"/>
      <c r="R24" s="61"/>
      <c r="S24" s="65" t="s">
        <v>32</v>
      </c>
    </row>
    <row r="25" spans="1:33" ht="18" customHeight="1" thickBot="1" x14ac:dyDescent="0.3">
      <c r="A25" s="62" t="s">
        <v>47</v>
      </c>
      <c r="B25" s="63"/>
      <c r="C25" s="63"/>
      <c r="D25" s="63"/>
      <c r="E25" s="63"/>
      <c r="F25" s="64"/>
      <c r="H25" s="17">
        <v>0</v>
      </c>
      <c r="I25" s="105"/>
      <c r="K25" s="20"/>
      <c r="L25" s="21"/>
      <c r="M25" s="21"/>
      <c r="N25" s="21"/>
      <c r="O25" s="21"/>
      <c r="P25" s="21"/>
      <c r="Q25" s="21"/>
      <c r="R25" s="21"/>
      <c r="S25" s="112"/>
    </row>
    <row r="26" spans="1:33" ht="15" customHeight="1" x14ac:dyDescent="0.25">
      <c r="A26" s="113" t="s">
        <v>46</v>
      </c>
      <c r="B26" s="113"/>
      <c r="C26" s="113"/>
      <c r="D26" s="113"/>
      <c r="E26" s="113"/>
      <c r="F26" s="113"/>
      <c r="H26" s="17">
        <v>0</v>
      </c>
      <c r="I26" s="106"/>
      <c r="K26" s="110">
        <v>1</v>
      </c>
      <c r="L26" s="110">
        <v>2</v>
      </c>
      <c r="M26" s="110">
        <v>3</v>
      </c>
      <c r="N26" s="110">
        <v>4</v>
      </c>
      <c r="O26" s="110">
        <v>5</v>
      </c>
      <c r="P26" s="110">
        <v>6</v>
      </c>
      <c r="Q26" s="110">
        <v>7</v>
      </c>
      <c r="R26" s="110">
        <v>8</v>
      </c>
      <c r="S26" s="112"/>
    </row>
    <row r="27" spans="1:33" ht="13.5" customHeight="1" thickBot="1" x14ac:dyDescent="0.3">
      <c r="H27" s="5">
        <f>SUM(H24:H26)</f>
        <v>0</v>
      </c>
      <c r="I27" s="16"/>
      <c r="K27" s="111"/>
      <c r="L27" s="111"/>
      <c r="M27" s="111"/>
      <c r="N27" s="111"/>
      <c r="O27" s="111"/>
      <c r="P27" s="111"/>
      <c r="Q27" s="111"/>
      <c r="R27" s="111"/>
      <c r="S27" s="66"/>
    </row>
    <row r="28" spans="1:33" ht="15.75" x14ac:dyDescent="0.25">
      <c r="A28" s="57" t="s">
        <v>157</v>
      </c>
      <c r="B28" s="57"/>
      <c r="C28" s="57"/>
      <c r="D28" s="57"/>
      <c r="E28" s="57"/>
      <c r="F28" s="57"/>
      <c r="H28" s="5"/>
      <c r="I28" s="16"/>
      <c r="K28" s="13">
        <f>I24</f>
        <v>0</v>
      </c>
      <c r="L28" s="13">
        <f>I29</f>
        <v>0</v>
      </c>
      <c r="M28" s="13">
        <f>I33</f>
        <v>0</v>
      </c>
      <c r="N28" s="13">
        <f>I41</f>
        <v>0</v>
      </c>
      <c r="O28" s="13">
        <f>I41</f>
        <v>0</v>
      </c>
      <c r="P28" s="15">
        <f>I55</f>
        <v>0</v>
      </c>
      <c r="Q28" s="15">
        <f>I62</f>
        <v>0</v>
      </c>
      <c r="R28" s="15">
        <f>I68</f>
        <v>0</v>
      </c>
      <c r="S28" s="5">
        <f>AVERAGE(K28:R28)</f>
        <v>0</v>
      </c>
    </row>
    <row r="29" spans="1:33" x14ac:dyDescent="0.25">
      <c r="A29" s="67" t="s">
        <v>48</v>
      </c>
      <c r="B29" s="68"/>
      <c r="C29" s="68"/>
      <c r="D29" s="68"/>
      <c r="E29" s="68"/>
      <c r="F29" s="69"/>
      <c r="H29" s="17">
        <v>0</v>
      </c>
      <c r="I29" s="44">
        <f>AVERAGE(H29:H30)</f>
        <v>0</v>
      </c>
      <c r="K29" s="10"/>
      <c r="L29" s="10"/>
      <c r="M29" s="13"/>
      <c r="N29" s="13"/>
      <c r="O29" s="13"/>
    </row>
    <row r="30" spans="1:33" x14ac:dyDescent="0.25">
      <c r="A30" s="67" t="s">
        <v>49</v>
      </c>
      <c r="B30" s="68"/>
      <c r="C30" s="68"/>
      <c r="D30" s="68"/>
      <c r="E30" s="68"/>
      <c r="F30" s="69"/>
      <c r="H30" s="17">
        <v>0</v>
      </c>
      <c r="I30" s="44"/>
      <c r="K30" s="10"/>
      <c r="L30" s="10"/>
      <c r="M30" s="13"/>
      <c r="N30" s="13"/>
      <c r="O30" s="13"/>
    </row>
    <row r="31" spans="1:33" x14ac:dyDescent="0.25">
      <c r="H31" s="5">
        <f>SUM(H29:H30)</f>
        <v>0</v>
      </c>
      <c r="I31" s="16"/>
      <c r="K31" s="10"/>
      <c r="L31" s="10"/>
      <c r="M31" s="13"/>
      <c r="N31" s="13"/>
      <c r="O31" s="13"/>
    </row>
    <row r="32" spans="1:33" ht="15.75" x14ac:dyDescent="0.25">
      <c r="A32" s="57" t="s">
        <v>158</v>
      </c>
      <c r="B32" s="57"/>
      <c r="C32" s="57"/>
      <c r="D32" s="57"/>
      <c r="E32" s="57"/>
      <c r="F32" s="57"/>
      <c r="H32" s="5"/>
      <c r="I32" s="16"/>
      <c r="K32" s="10"/>
      <c r="L32" s="10"/>
      <c r="M32" s="13"/>
      <c r="N32" s="13"/>
      <c r="O32" s="13"/>
    </row>
    <row r="33" spans="1:15" x14ac:dyDescent="0.25">
      <c r="A33" s="59" t="s">
        <v>50</v>
      </c>
      <c r="B33" s="59"/>
      <c r="C33" s="59"/>
      <c r="D33" s="59"/>
      <c r="E33" s="59"/>
      <c r="F33" s="59"/>
      <c r="H33" s="17">
        <v>0</v>
      </c>
      <c r="I33" s="44">
        <f>AVERAGE(H33:H38)</f>
        <v>0</v>
      </c>
      <c r="K33" s="10"/>
      <c r="L33" s="10"/>
      <c r="M33" s="13"/>
      <c r="N33" s="13"/>
      <c r="O33" s="13"/>
    </row>
    <row r="34" spans="1:15" x14ac:dyDescent="0.25">
      <c r="A34" s="59" t="s">
        <v>51</v>
      </c>
      <c r="B34" s="59"/>
      <c r="C34" s="59"/>
      <c r="D34" s="59"/>
      <c r="E34" s="59"/>
      <c r="F34" s="59"/>
      <c r="H34" s="17">
        <v>0</v>
      </c>
      <c r="I34" s="44"/>
      <c r="K34" s="10"/>
      <c r="L34" s="10"/>
      <c r="M34" s="13"/>
      <c r="N34" s="13"/>
      <c r="O34" s="13"/>
    </row>
    <row r="35" spans="1:15" x14ac:dyDescent="0.25">
      <c r="A35" s="59" t="s">
        <v>52</v>
      </c>
      <c r="B35" s="59"/>
      <c r="C35" s="59"/>
      <c r="D35" s="59"/>
      <c r="E35" s="59"/>
      <c r="F35" s="59"/>
      <c r="H35" s="17">
        <v>0</v>
      </c>
      <c r="I35" s="44"/>
      <c r="K35" s="10"/>
      <c r="L35" s="10"/>
      <c r="M35" s="13"/>
      <c r="N35" s="13"/>
      <c r="O35" s="13"/>
    </row>
    <row r="36" spans="1:15" x14ac:dyDescent="0.25">
      <c r="A36" s="67" t="s">
        <v>54</v>
      </c>
      <c r="B36" s="68"/>
      <c r="C36" s="68"/>
      <c r="D36" s="68"/>
      <c r="E36" s="68"/>
      <c r="F36" s="69"/>
      <c r="H36" s="17">
        <v>0</v>
      </c>
      <c r="I36" s="44"/>
      <c r="K36" s="10"/>
      <c r="L36" s="10"/>
      <c r="M36" s="13"/>
      <c r="N36" s="13"/>
      <c r="O36" s="13"/>
    </row>
    <row r="37" spans="1:15" x14ac:dyDescent="0.25">
      <c r="A37" s="67" t="s">
        <v>55</v>
      </c>
      <c r="B37" s="68"/>
      <c r="C37" s="68"/>
      <c r="D37" s="68"/>
      <c r="E37" s="68"/>
      <c r="F37" s="69"/>
      <c r="H37" s="17">
        <v>0</v>
      </c>
      <c r="I37" s="44"/>
      <c r="K37" s="10"/>
      <c r="L37" s="10"/>
      <c r="M37" s="13"/>
      <c r="N37" s="13"/>
      <c r="O37" s="13"/>
    </row>
    <row r="38" spans="1:15" x14ac:dyDescent="0.25">
      <c r="A38" s="58" t="s">
        <v>53</v>
      </c>
      <c r="B38" s="59"/>
      <c r="C38" s="59"/>
      <c r="D38" s="59"/>
      <c r="E38" s="59"/>
      <c r="F38" s="59"/>
      <c r="H38" s="17">
        <v>0</v>
      </c>
      <c r="I38" s="44"/>
      <c r="K38" s="10"/>
      <c r="L38" s="10"/>
      <c r="M38" s="13"/>
      <c r="N38" s="13"/>
      <c r="O38" s="13"/>
    </row>
    <row r="39" spans="1:15" x14ac:dyDescent="0.25">
      <c r="A39" s="5"/>
      <c r="B39" s="5"/>
      <c r="C39" s="5"/>
      <c r="D39" s="5"/>
      <c r="E39" s="5"/>
      <c r="F39" s="5"/>
      <c r="H39" s="5">
        <f>SUM(H33:H38)</f>
        <v>0</v>
      </c>
      <c r="I39" s="34"/>
      <c r="K39" s="10"/>
      <c r="L39" s="10"/>
      <c r="M39" s="13"/>
      <c r="N39" s="13"/>
      <c r="O39" s="13"/>
    </row>
    <row r="40" spans="1:15" ht="15.75" x14ac:dyDescent="0.25">
      <c r="A40" s="57" t="s">
        <v>159</v>
      </c>
      <c r="B40" s="57"/>
      <c r="C40" s="57"/>
      <c r="D40" s="57"/>
      <c r="E40" s="57"/>
      <c r="F40" s="57"/>
      <c r="H40" s="5"/>
      <c r="I40" s="16"/>
      <c r="K40" s="10"/>
      <c r="L40" s="10"/>
      <c r="M40" s="13"/>
      <c r="N40" s="13"/>
      <c r="O40" s="13"/>
    </row>
    <row r="41" spans="1:15" x14ac:dyDescent="0.25">
      <c r="A41" s="59" t="s">
        <v>56</v>
      </c>
      <c r="B41" s="59"/>
      <c r="C41" s="59"/>
      <c r="D41" s="59"/>
      <c r="E41" s="59"/>
      <c r="F41" s="59"/>
      <c r="H41" s="17">
        <v>0</v>
      </c>
      <c r="I41" s="44">
        <f>AVERAGE(H41:H42)</f>
        <v>0</v>
      </c>
      <c r="K41" s="10"/>
      <c r="L41" s="10"/>
      <c r="M41" s="13"/>
      <c r="N41" s="13"/>
      <c r="O41" s="13"/>
    </row>
    <row r="42" spans="1:15" x14ac:dyDescent="0.25">
      <c r="A42" s="59" t="s">
        <v>57</v>
      </c>
      <c r="B42" s="59"/>
      <c r="C42" s="59"/>
      <c r="D42" s="59"/>
      <c r="E42" s="59"/>
      <c r="F42" s="59"/>
      <c r="H42" s="17">
        <v>0</v>
      </c>
      <c r="I42" s="44"/>
      <c r="K42" s="10"/>
      <c r="L42" s="10"/>
      <c r="M42" s="13"/>
      <c r="N42" s="13"/>
      <c r="O42" s="13"/>
    </row>
    <row r="43" spans="1:15" x14ac:dyDescent="0.25">
      <c r="A43" s="5"/>
      <c r="B43" s="5"/>
      <c r="C43" s="5"/>
      <c r="D43" s="5"/>
      <c r="E43" s="5"/>
      <c r="F43" s="5"/>
      <c r="H43" s="5">
        <f>SUM(H41:H42)</f>
        <v>0</v>
      </c>
      <c r="I43" s="34"/>
      <c r="K43" s="10"/>
      <c r="L43" s="10"/>
      <c r="M43" s="13"/>
      <c r="N43" s="13"/>
      <c r="O43" s="13"/>
    </row>
    <row r="44" spans="1:15" ht="15.75" x14ac:dyDescent="0.25">
      <c r="A44" s="57" t="s">
        <v>160</v>
      </c>
      <c r="B44" s="57"/>
      <c r="C44" s="57"/>
      <c r="D44" s="57"/>
      <c r="E44" s="57"/>
      <c r="F44" s="57"/>
      <c r="H44" s="5"/>
      <c r="I44" s="16"/>
      <c r="K44" s="10"/>
      <c r="L44" s="10"/>
      <c r="M44" s="13"/>
      <c r="N44" s="13"/>
      <c r="O44" s="13"/>
    </row>
    <row r="45" spans="1:15" x14ac:dyDescent="0.25">
      <c r="A45" s="59" t="s">
        <v>58</v>
      </c>
      <c r="B45" s="59"/>
      <c r="C45" s="59"/>
      <c r="D45" s="59"/>
      <c r="E45" s="59"/>
      <c r="F45" s="59"/>
      <c r="H45" s="17">
        <v>0</v>
      </c>
      <c r="I45" s="104">
        <f>AVERAGE(H45:H52)</f>
        <v>0</v>
      </c>
      <c r="K45" s="10"/>
      <c r="L45" s="10"/>
      <c r="M45" s="13"/>
      <c r="N45" s="13"/>
      <c r="O45" s="13"/>
    </row>
    <row r="46" spans="1:15" x14ac:dyDescent="0.25">
      <c r="A46" s="59" t="s">
        <v>59</v>
      </c>
      <c r="B46" s="59"/>
      <c r="C46" s="59"/>
      <c r="D46" s="59"/>
      <c r="E46" s="59"/>
      <c r="F46" s="59"/>
      <c r="H46" s="17">
        <v>0</v>
      </c>
      <c r="I46" s="105"/>
      <c r="K46" s="10"/>
      <c r="L46" s="10"/>
      <c r="M46" s="13"/>
      <c r="N46" s="13"/>
      <c r="O46" s="13"/>
    </row>
    <row r="47" spans="1:15" x14ac:dyDescent="0.25">
      <c r="A47" s="59" t="s">
        <v>60</v>
      </c>
      <c r="B47" s="59"/>
      <c r="C47" s="59"/>
      <c r="D47" s="59"/>
      <c r="E47" s="59"/>
      <c r="F47" s="59"/>
      <c r="H47" s="17">
        <v>0</v>
      </c>
      <c r="I47" s="105"/>
      <c r="K47" s="10"/>
      <c r="L47" s="10"/>
      <c r="M47" s="13"/>
      <c r="N47" s="13"/>
      <c r="O47" s="13"/>
    </row>
    <row r="48" spans="1:15" x14ac:dyDescent="0.25">
      <c r="A48" s="67" t="s">
        <v>61</v>
      </c>
      <c r="B48" s="68"/>
      <c r="C48" s="68"/>
      <c r="D48" s="68"/>
      <c r="E48" s="68"/>
      <c r="F48" s="69"/>
      <c r="H48" s="17">
        <v>0</v>
      </c>
      <c r="I48" s="105"/>
      <c r="K48" s="10"/>
      <c r="L48" s="10"/>
      <c r="M48" s="13"/>
      <c r="N48" s="13"/>
      <c r="O48" s="13"/>
    </row>
    <row r="49" spans="1:15" x14ac:dyDescent="0.25">
      <c r="A49" s="68" t="s">
        <v>62</v>
      </c>
      <c r="B49" s="68"/>
      <c r="C49" s="68"/>
      <c r="D49" s="68"/>
      <c r="E49" s="68"/>
      <c r="F49" s="69"/>
      <c r="H49" s="17">
        <v>0</v>
      </c>
      <c r="I49" s="105"/>
      <c r="K49" s="10"/>
      <c r="L49" s="10"/>
      <c r="M49" s="13"/>
      <c r="N49" s="13"/>
      <c r="O49" s="13"/>
    </row>
    <row r="50" spans="1:15" x14ac:dyDescent="0.25">
      <c r="A50" s="68" t="s">
        <v>64</v>
      </c>
      <c r="B50" s="68"/>
      <c r="C50" s="68"/>
      <c r="D50" s="68"/>
      <c r="E50" s="68"/>
      <c r="F50" s="69"/>
      <c r="H50" s="17">
        <v>0</v>
      </c>
      <c r="I50" s="105"/>
      <c r="K50" s="10"/>
      <c r="L50" s="10"/>
      <c r="M50" s="13"/>
      <c r="N50" s="13"/>
      <c r="O50" s="13"/>
    </row>
    <row r="51" spans="1:15" x14ac:dyDescent="0.25">
      <c r="A51" s="23" t="s">
        <v>65</v>
      </c>
      <c r="B51" s="23"/>
      <c r="C51" s="23"/>
      <c r="D51" s="23"/>
      <c r="E51" s="23"/>
      <c r="F51" s="24"/>
      <c r="H51" s="17">
        <v>0</v>
      </c>
      <c r="I51" s="105"/>
      <c r="K51" s="10"/>
      <c r="L51" s="10"/>
      <c r="M51" s="13"/>
      <c r="N51" s="13"/>
      <c r="O51" s="13"/>
    </row>
    <row r="52" spans="1:15" x14ac:dyDescent="0.25">
      <c r="A52" s="59" t="s">
        <v>63</v>
      </c>
      <c r="B52" s="59"/>
      <c r="C52" s="59"/>
      <c r="D52" s="59"/>
      <c r="E52" s="59"/>
      <c r="F52" s="59"/>
      <c r="H52" s="17">
        <v>0</v>
      </c>
      <c r="I52" s="106"/>
      <c r="K52" s="10"/>
      <c r="L52" s="10"/>
      <c r="M52" s="13"/>
      <c r="N52" s="13"/>
      <c r="O52" s="13"/>
    </row>
    <row r="53" spans="1:15" x14ac:dyDescent="0.25">
      <c r="A53" s="5"/>
      <c r="B53" s="5"/>
      <c r="C53" s="5"/>
      <c r="D53" s="5"/>
      <c r="E53" s="5"/>
      <c r="F53" s="22"/>
      <c r="H53" s="5">
        <f>SUM(H45:H52)</f>
        <v>0</v>
      </c>
      <c r="I53" s="34"/>
      <c r="K53" s="10"/>
      <c r="L53" s="10"/>
      <c r="M53" s="13"/>
      <c r="N53" s="13"/>
      <c r="O53" s="13"/>
    </row>
    <row r="54" spans="1:15" ht="15.75" x14ac:dyDescent="0.25">
      <c r="A54" s="57" t="s">
        <v>161</v>
      </c>
      <c r="B54" s="57"/>
      <c r="C54" s="57"/>
      <c r="D54" s="57"/>
      <c r="E54" s="57"/>
      <c r="F54" s="57"/>
      <c r="H54" s="5"/>
      <c r="I54" s="16"/>
      <c r="K54" s="10"/>
      <c r="L54" s="10"/>
      <c r="M54" s="13"/>
      <c r="N54" s="13"/>
      <c r="O54" s="13"/>
    </row>
    <row r="55" spans="1:15" x14ac:dyDescent="0.25">
      <c r="A55" s="59" t="s">
        <v>66</v>
      </c>
      <c r="B55" s="59"/>
      <c r="C55" s="59"/>
      <c r="D55" s="59"/>
      <c r="E55" s="59"/>
      <c r="F55" s="59"/>
      <c r="H55" s="17">
        <v>0</v>
      </c>
      <c r="I55" s="44">
        <f>AVERAGE(H55:H58)</f>
        <v>0</v>
      </c>
      <c r="K55" s="10"/>
      <c r="L55" s="10"/>
      <c r="M55" s="13"/>
      <c r="N55" s="13"/>
      <c r="O55" s="13"/>
    </row>
    <row r="56" spans="1:15" x14ac:dyDescent="0.25">
      <c r="A56" s="59" t="s">
        <v>67</v>
      </c>
      <c r="B56" s="59"/>
      <c r="C56" s="59"/>
      <c r="D56" s="59"/>
      <c r="E56" s="59"/>
      <c r="F56" s="59"/>
      <c r="H56" s="17">
        <v>0</v>
      </c>
      <c r="I56" s="44"/>
      <c r="K56" s="10"/>
      <c r="L56" s="10"/>
      <c r="M56" s="13"/>
      <c r="N56" s="13"/>
      <c r="O56" s="13"/>
    </row>
    <row r="57" spans="1:15" x14ac:dyDescent="0.25">
      <c r="A57" s="67" t="s">
        <v>68</v>
      </c>
      <c r="B57" s="68"/>
      <c r="C57" s="68"/>
      <c r="D57" s="68"/>
      <c r="E57" s="68"/>
      <c r="F57" s="69"/>
      <c r="H57" s="17">
        <v>0</v>
      </c>
      <c r="I57" s="44"/>
      <c r="K57" s="10"/>
      <c r="L57" s="10"/>
      <c r="M57" s="13"/>
      <c r="N57" s="13"/>
      <c r="O57" s="13"/>
    </row>
    <row r="58" spans="1:15" x14ac:dyDescent="0.25">
      <c r="A58" s="67" t="s">
        <v>69</v>
      </c>
      <c r="B58" s="68"/>
      <c r="C58" s="68"/>
      <c r="D58" s="68"/>
      <c r="E58" s="68"/>
      <c r="F58" s="69"/>
      <c r="H58" s="17">
        <v>0</v>
      </c>
      <c r="I58" s="44"/>
      <c r="K58" s="10"/>
      <c r="L58" s="10"/>
      <c r="M58" s="13"/>
      <c r="N58" s="13"/>
      <c r="O58" s="13"/>
    </row>
    <row r="59" spans="1:15" x14ac:dyDescent="0.25">
      <c r="H59" s="5">
        <f>SUM(H55:H58)</f>
        <v>0</v>
      </c>
      <c r="I59" s="16"/>
      <c r="K59" s="10"/>
      <c r="L59" s="10"/>
      <c r="M59" s="13"/>
      <c r="N59" s="13"/>
      <c r="O59" s="13"/>
    </row>
    <row r="60" spans="1:15" x14ac:dyDescent="0.25">
      <c r="H60" s="5"/>
      <c r="I60" s="16"/>
      <c r="K60" s="10"/>
      <c r="L60" s="10"/>
      <c r="M60" s="13"/>
      <c r="N60" s="13"/>
      <c r="O60" s="13"/>
    </row>
    <row r="61" spans="1:15" ht="15.75" x14ac:dyDescent="0.25">
      <c r="A61" s="57" t="s">
        <v>162</v>
      </c>
      <c r="B61" s="57"/>
      <c r="C61" s="57"/>
      <c r="D61" s="57"/>
      <c r="E61" s="57"/>
      <c r="F61" s="57"/>
      <c r="H61" s="5"/>
      <c r="I61" s="34"/>
      <c r="K61" s="11"/>
      <c r="L61" s="11"/>
      <c r="M61" s="9"/>
      <c r="N61" s="9"/>
      <c r="O61" s="9"/>
    </row>
    <row r="62" spans="1:15" x14ac:dyDescent="0.25">
      <c r="A62" s="67" t="s">
        <v>70</v>
      </c>
      <c r="B62" s="68"/>
      <c r="C62" s="68" t="s">
        <v>22</v>
      </c>
      <c r="D62" s="68"/>
      <c r="E62" s="68" t="s">
        <v>22</v>
      </c>
      <c r="F62" s="69"/>
      <c r="H62" s="17">
        <v>0</v>
      </c>
      <c r="I62" s="104">
        <f>AVERAGE(H62:H64)</f>
        <v>0</v>
      </c>
      <c r="K62" s="11"/>
      <c r="L62" s="11"/>
      <c r="M62" s="9"/>
      <c r="N62" s="9"/>
      <c r="O62" s="9"/>
    </row>
    <row r="63" spans="1:15" x14ac:dyDescent="0.25">
      <c r="A63" s="67" t="s">
        <v>71</v>
      </c>
      <c r="B63" s="68"/>
      <c r="C63" s="68" t="s">
        <v>23</v>
      </c>
      <c r="D63" s="68"/>
      <c r="E63" s="68" t="s">
        <v>23</v>
      </c>
      <c r="F63" s="69"/>
      <c r="H63" s="17">
        <v>0</v>
      </c>
      <c r="I63" s="105"/>
    </row>
    <row r="64" spans="1:15" x14ac:dyDescent="0.25">
      <c r="A64" s="67" t="s">
        <v>72</v>
      </c>
      <c r="B64" s="68"/>
      <c r="C64" s="68" t="s">
        <v>24</v>
      </c>
      <c r="D64" s="68"/>
      <c r="E64" s="68" t="s">
        <v>24</v>
      </c>
      <c r="F64" s="69"/>
      <c r="H64" s="17">
        <v>0</v>
      </c>
      <c r="I64" s="106"/>
    </row>
    <row r="65" spans="1:9" x14ac:dyDescent="0.25">
      <c r="H65" s="5">
        <f>SUM(H62:H64)</f>
        <v>0</v>
      </c>
      <c r="I65" s="34"/>
    </row>
    <row r="66" spans="1:9" x14ac:dyDescent="0.25">
      <c r="H66" s="5"/>
      <c r="I66" s="34"/>
    </row>
    <row r="67" spans="1:9" ht="15.75" x14ac:dyDescent="0.25">
      <c r="A67" s="57" t="s">
        <v>163</v>
      </c>
      <c r="B67" s="57"/>
      <c r="C67" s="57"/>
      <c r="D67" s="57"/>
      <c r="E67" s="57"/>
      <c r="F67" s="57"/>
      <c r="H67" s="5"/>
      <c r="I67" s="34"/>
    </row>
    <row r="68" spans="1:9" x14ac:dyDescent="0.25">
      <c r="A68" s="101" t="s">
        <v>73</v>
      </c>
      <c r="B68" s="102"/>
      <c r="C68" s="102" t="s">
        <v>17</v>
      </c>
      <c r="D68" s="102"/>
      <c r="E68" s="102" t="s">
        <v>17</v>
      </c>
      <c r="F68" s="103"/>
      <c r="H68" s="17">
        <v>0</v>
      </c>
      <c r="I68" s="104">
        <f>AVERAGE(H68:H73)</f>
        <v>0</v>
      </c>
    </row>
    <row r="69" spans="1:9" x14ac:dyDescent="0.25">
      <c r="A69" s="101" t="s">
        <v>74</v>
      </c>
      <c r="B69" s="102"/>
      <c r="C69" s="102" t="s">
        <v>18</v>
      </c>
      <c r="D69" s="102"/>
      <c r="E69" s="102" t="s">
        <v>18</v>
      </c>
      <c r="F69" s="103"/>
      <c r="H69" s="17">
        <v>0</v>
      </c>
      <c r="I69" s="105"/>
    </row>
    <row r="70" spans="1:9" x14ac:dyDescent="0.25">
      <c r="A70" s="101" t="s">
        <v>75</v>
      </c>
      <c r="B70" s="102"/>
      <c r="C70" s="102" t="s">
        <v>19</v>
      </c>
      <c r="D70" s="102"/>
      <c r="E70" s="102" t="s">
        <v>19</v>
      </c>
      <c r="F70" s="103"/>
      <c r="H70" s="17">
        <v>0</v>
      </c>
      <c r="I70" s="105"/>
    </row>
    <row r="71" spans="1:9" x14ac:dyDescent="0.25">
      <c r="A71" s="107" t="s">
        <v>76</v>
      </c>
      <c r="B71" s="108"/>
      <c r="C71" s="108" t="s">
        <v>20</v>
      </c>
      <c r="D71" s="108"/>
      <c r="E71" s="108" t="s">
        <v>20</v>
      </c>
      <c r="F71" s="109"/>
      <c r="H71" s="17">
        <v>0</v>
      </c>
      <c r="I71" s="105"/>
    </row>
    <row r="72" spans="1:9" x14ac:dyDescent="0.25">
      <c r="A72" s="107" t="s">
        <v>78</v>
      </c>
      <c r="B72" s="108"/>
      <c r="C72" s="108"/>
      <c r="D72" s="108"/>
      <c r="E72" s="108"/>
      <c r="F72" s="109"/>
      <c r="H72" s="17">
        <v>0</v>
      </c>
      <c r="I72" s="105"/>
    </row>
    <row r="73" spans="1:9" x14ac:dyDescent="0.25">
      <c r="A73" s="101" t="s">
        <v>77</v>
      </c>
      <c r="B73" s="102"/>
      <c r="C73" s="102" t="s">
        <v>21</v>
      </c>
      <c r="D73" s="102"/>
      <c r="E73" s="102" t="s">
        <v>21</v>
      </c>
      <c r="F73" s="103"/>
      <c r="H73" s="17">
        <v>0</v>
      </c>
      <c r="I73" s="106"/>
    </row>
    <row r="74" spans="1:9" x14ac:dyDescent="0.25">
      <c r="H74" s="5">
        <f>SUM(H68:H73)</f>
        <v>0</v>
      </c>
    </row>
    <row r="75" spans="1:9" ht="15.75" thickBot="1" x14ac:dyDescent="0.3">
      <c r="H75" s="5"/>
    </row>
    <row r="76" spans="1:9" ht="15.75" thickBot="1" x14ac:dyDescent="0.3">
      <c r="A76" s="36" t="s">
        <v>13</v>
      </c>
      <c r="B76" s="36"/>
      <c r="C76" s="36"/>
      <c r="D76" s="36"/>
      <c r="E76" s="36"/>
      <c r="F76" s="37"/>
      <c r="H76" s="5"/>
    </row>
    <row r="77" spans="1:9" x14ac:dyDescent="0.25">
      <c r="A77" s="52" t="s">
        <v>16</v>
      </c>
      <c r="B77" s="52"/>
      <c r="C77" s="52"/>
      <c r="D77" s="52"/>
      <c r="E77" s="52"/>
      <c r="F77" s="52"/>
      <c r="H77" s="5"/>
    </row>
    <row r="78" spans="1:9" x14ac:dyDescent="0.25">
      <c r="A78" s="44" t="s">
        <v>14</v>
      </c>
      <c r="B78" s="45"/>
      <c r="C78" s="91"/>
      <c r="D78" s="91"/>
      <c r="E78" s="91"/>
      <c r="F78" s="91"/>
      <c r="H78" s="5"/>
    </row>
    <row r="79" spans="1:9" x14ac:dyDescent="0.25">
      <c r="A79" s="44"/>
      <c r="B79" s="91"/>
      <c r="C79" s="91"/>
      <c r="D79" s="91"/>
      <c r="E79" s="91"/>
      <c r="F79" s="91"/>
      <c r="G79" s="6"/>
      <c r="H79" s="6"/>
      <c r="I79" s="6"/>
    </row>
    <row r="80" spans="1:9" x14ac:dyDescent="0.25">
      <c r="A80" s="44"/>
      <c r="B80" s="91"/>
      <c r="C80" s="91"/>
      <c r="D80" s="91"/>
      <c r="E80" s="91"/>
      <c r="F80" s="91"/>
      <c r="G80" s="5"/>
      <c r="H80" s="5"/>
      <c r="I80" s="5"/>
    </row>
    <row r="81" spans="1:9" x14ac:dyDescent="0.25">
      <c r="A81" s="44"/>
      <c r="B81" s="91"/>
      <c r="C81" s="91"/>
      <c r="D81" s="91"/>
      <c r="E81" s="91"/>
      <c r="F81" s="91"/>
      <c r="G81" s="5"/>
      <c r="H81" s="5"/>
      <c r="I81" s="5"/>
    </row>
    <row r="82" spans="1:9" x14ac:dyDescent="0.25">
      <c r="A82" s="44"/>
      <c r="B82" s="99"/>
      <c r="C82" s="99"/>
      <c r="D82" s="99"/>
      <c r="E82" s="99"/>
      <c r="F82" s="99"/>
      <c r="G82" s="5"/>
      <c r="H82" s="5"/>
      <c r="I82" s="5"/>
    </row>
    <row r="83" spans="1:9" x14ac:dyDescent="0.25">
      <c r="A83" s="47" t="s">
        <v>15</v>
      </c>
      <c r="B83" s="100"/>
      <c r="C83" s="49"/>
      <c r="D83" s="49"/>
      <c r="E83" s="49"/>
      <c r="F83" s="50"/>
      <c r="G83" s="5"/>
      <c r="H83" s="5"/>
      <c r="I83" s="5"/>
    </row>
    <row r="84" spans="1:9" x14ac:dyDescent="0.25">
      <c r="A84" s="47"/>
      <c r="B84" s="51"/>
      <c r="C84" s="52"/>
      <c r="D84" s="52"/>
      <c r="E84" s="52"/>
      <c r="F84" s="53"/>
      <c r="G84" s="5"/>
      <c r="H84" s="5"/>
      <c r="I84" s="5"/>
    </row>
    <row r="85" spans="1:9" x14ac:dyDescent="0.25">
      <c r="A85" s="47"/>
      <c r="B85" s="51"/>
      <c r="C85" s="52"/>
      <c r="D85" s="52"/>
      <c r="E85" s="52"/>
      <c r="F85" s="53"/>
      <c r="G85" s="5"/>
      <c r="H85" s="5"/>
      <c r="I85" s="5"/>
    </row>
    <row r="86" spans="1:9" x14ac:dyDescent="0.25">
      <c r="A86" s="47"/>
      <c r="B86" s="51"/>
      <c r="C86" s="52"/>
      <c r="D86" s="52"/>
      <c r="E86" s="52"/>
      <c r="F86" s="53"/>
      <c r="G86" s="5"/>
      <c r="H86" s="5"/>
      <c r="I86" s="5"/>
    </row>
    <row r="87" spans="1:9" x14ac:dyDescent="0.25">
      <c r="A87" s="47"/>
      <c r="B87" s="54"/>
      <c r="C87" s="35"/>
      <c r="D87" s="35"/>
      <c r="E87" s="35"/>
      <c r="F87" s="55"/>
      <c r="G87" s="5"/>
      <c r="H87" s="5"/>
      <c r="I87" s="5"/>
    </row>
    <row r="88" spans="1:9" x14ac:dyDescent="0.25">
      <c r="G88" s="5"/>
      <c r="H88" s="5"/>
      <c r="I88" s="5"/>
    </row>
    <row r="89" spans="1:9" x14ac:dyDescent="0.25">
      <c r="G89" s="5"/>
      <c r="H89" s="5"/>
      <c r="I89" s="5"/>
    </row>
    <row r="90" spans="1:9" ht="15.75" thickBot="1" x14ac:dyDescent="0.3">
      <c r="A90" s="56" t="s">
        <v>25</v>
      </c>
      <c r="B90" s="56"/>
      <c r="C90" s="56"/>
      <c r="D90" s="56"/>
      <c r="E90" s="56"/>
      <c r="F90" s="56"/>
      <c r="G90" s="5"/>
      <c r="H90" s="5"/>
      <c r="I90" s="5"/>
    </row>
    <row r="91" spans="1:9" x14ac:dyDescent="0.25">
      <c r="A91" s="94"/>
      <c r="B91" s="94"/>
      <c r="C91" s="94"/>
      <c r="D91" s="94"/>
      <c r="E91" s="94"/>
      <c r="F91" s="95"/>
      <c r="H91" s="5"/>
    </row>
    <row r="92" spans="1:9" x14ac:dyDescent="0.25">
      <c r="A92" s="82"/>
      <c r="B92" s="82"/>
      <c r="C92" s="82"/>
      <c r="D92" s="82"/>
      <c r="E92" s="82"/>
      <c r="F92" s="96"/>
      <c r="H92" s="5"/>
    </row>
    <row r="93" spans="1:9" x14ac:dyDescent="0.25">
      <c r="A93" s="82"/>
      <c r="B93" s="82"/>
      <c r="C93" s="82"/>
      <c r="D93" s="82"/>
      <c r="E93" s="82"/>
      <c r="F93" s="96"/>
      <c r="G93" s="7"/>
      <c r="H93" s="7"/>
      <c r="I93" s="7"/>
    </row>
    <row r="94" spans="1:9" x14ac:dyDescent="0.25">
      <c r="A94" s="82"/>
      <c r="B94" s="82"/>
      <c r="C94" s="82"/>
      <c r="D94" s="82"/>
      <c r="E94" s="82"/>
      <c r="F94" s="96"/>
      <c r="G94" s="16"/>
      <c r="H94" s="16"/>
      <c r="I94" s="16"/>
    </row>
    <row r="95" spans="1:9" ht="15.75" thickBot="1" x14ac:dyDescent="0.3">
      <c r="A95" s="97"/>
      <c r="B95" s="97"/>
      <c r="C95" s="97"/>
      <c r="D95" s="97"/>
      <c r="E95" s="97"/>
      <c r="F95" s="98"/>
      <c r="G95" s="16"/>
      <c r="H95" s="16"/>
      <c r="I95" s="16"/>
    </row>
  </sheetData>
  <mergeCells count="87">
    <mergeCell ref="A1:C7"/>
    <mergeCell ref="D3:I4"/>
    <mergeCell ref="G8:I8"/>
    <mergeCell ref="A9:I9"/>
    <mergeCell ref="B10:I10"/>
    <mergeCell ref="B11:I11"/>
    <mergeCell ref="K20:O20"/>
    <mergeCell ref="H21:H22"/>
    <mergeCell ref="I21:I22"/>
    <mergeCell ref="K21:K22"/>
    <mergeCell ref="L21:L22"/>
    <mergeCell ref="M21:M22"/>
    <mergeCell ref="N21:N22"/>
    <mergeCell ref="O21:O22"/>
    <mergeCell ref="B12:I12"/>
    <mergeCell ref="A15:I15"/>
    <mergeCell ref="B16:I16"/>
    <mergeCell ref="B17:D17"/>
    <mergeCell ref="A20:F22"/>
    <mergeCell ref="H20:I20"/>
    <mergeCell ref="A23:F23"/>
    <mergeCell ref="A24:F24"/>
    <mergeCell ref="I24:I26"/>
    <mergeCell ref="K24:R24"/>
    <mergeCell ref="S24:S27"/>
    <mergeCell ref="A26:F26"/>
    <mergeCell ref="K26:K27"/>
    <mergeCell ref="L26:L27"/>
    <mergeCell ref="M26:M27"/>
    <mergeCell ref="N26:N27"/>
    <mergeCell ref="A25:F25"/>
    <mergeCell ref="R26:R27"/>
    <mergeCell ref="A28:F28"/>
    <mergeCell ref="I29:I30"/>
    <mergeCell ref="O26:O27"/>
    <mergeCell ref="P26:P27"/>
    <mergeCell ref="Q26:Q27"/>
    <mergeCell ref="A29:F29"/>
    <mergeCell ref="A30:F30"/>
    <mergeCell ref="A32:F32"/>
    <mergeCell ref="A33:F33"/>
    <mergeCell ref="I33:I38"/>
    <mergeCell ref="A34:F34"/>
    <mergeCell ref="A35:F35"/>
    <mergeCell ref="A38:F38"/>
    <mergeCell ref="A36:F36"/>
    <mergeCell ref="A37:F37"/>
    <mergeCell ref="A54:F54"/>
    <mergeCell ref="A40:F40"/>
    <mergeCell ref="A41:F41"/>
    <mergeCell ref="I41:I42"/>
    <mergeCell ref="A42:F42"/>
    <mergeCell ref="A44:F44"/>
    <mergeCell ref="A48:F48"/>
    <mergeCell ref="A49:F49"/>
    <mergeCell ref="A50:F50"/>
    <mergeCell ref="A45:F45"/>
    <mergeCell ref="I45:I52"/>
    <mergeCell ref="A46:F46"/>
    <mergeCell ref="A47:F47"/>
    <mergeCell ref="A52:F52"/>
    <mergeCell ref="A55:F55"/>
    <mergeCell ref="I55:I58"/>
    <mergeCell ref="A56:F56"/>
    <mergeCell ref="A61:F61"/>
    <mergeCell ref="A62:F62"/>
    <mergeCell ref="I62:I64"/>
    <mergeCell ref="A63:F63"/>
    <mergeCell ref="A64:F64"/>
    <mergeCell ref="A57:F57"/>
    <mergeCell ref="A58:F58"/>
    <mergeCell ref="A67:F67"/>
    <mergeCell ref="A68:F68"/>
    <mergeCell ref="I68:I73"/>
    <mergeCell ref="A69:F69"/>
    <mergeCell ref="A70:F70"/>
    <mergeCell ref="A71:F71"/>
    <mergeCell ref="A73:F73"/>
    <mergeCell ref="A72:F72"/>
    <mergeCell ref="A76:F76"/>
    <mergeCell ref="A91:F95"/>
    <mergeCell ref="A77:F77"/>
    <mergeCell ref="A78:A82"/>
    <mergeCell ref="B78:F82"/>
    <mergeCell ref="A83:A87"/>
    <mergeCell ref="B83:F87"/>
    <mergeCell ref="A90:F90"/>
  </mergeCells>
  <pageMargins left="0.7" right="0.7" top="0.75" bottom="0.75" header="0.3" footer="0.3"/>
  <pageSetup orientation="portrait" horizontalDpi="4294967295" verticalDpi="4294967295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DATOS!$B$3:$B$9</xm:f>
          </x14:formula1>
          <xm:sqref>B11:I11</xm:sqref>
        </x14:dataValidation>
        <x14:dataValidation type="list" allowBlank="1" showInputMessage="1" showErrorMessage="1" xr:uid="{00000000-0002-0000-0000-000001000000}">
          <x14:formula1>
            <xm:f>DATOS!$C$3:$C$6</xm:f>
          </x14:formula1>
          <xm:sqref>B12:I12</xm:sqref>
        </x14:dataValidation>
        <x14:dataValidation type="list" allowBlank="1" showInputMessage="1" showErrorMessage="1" xr:uid="{00000000-0002-0000-0000-000002000000}">
          <x14:formula1>
            <xm:f>DATOS!$D$3:$D$52</xm:f>
          </x14:formula1>
          <xm:sqref>B16:I16 B10:I10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8"/>
  <sheetViews>
    <sheetView tabSelected="1" topLeftCell="A33" zoomScale="80" zoomScaleNormal="80" workbookViewId="0">
      <selection activeCell="D35" sqref="D35"/>
    </sheetView>
  </sheetViews>
  <sheetFormatPr baseColWidth="10" defaultColWidth="9.140625" defaultRowHeight="15" x14ac:dyDescent="0.25"/>
  <cols>
    <col min="1" max="1" width="26.5703125" customWidth="1"/>
    <col min="3" max="3" width="5" customWidth="1"/>
    <col min="6" max="6" width="37.28515625" customWidth="1"/>
    <col min="7" max="7" width="4" customWidth="1"/>
    <col min="8" max="8" width="10.28515625" bestFit="1" customWidth="1"/>
    <col min="9" max="9" width="12.42578125" bestFit="1" customWidth="1"/>
    <col min="11" max="11" width="7.140625" customWidth="1"/>
    <col min="12" max="12" width="6.42578125" customWidth="1"/>
    <col min="13" max="14" width="5.85546875" customWidth="1"/>
    <col min="15" max="15" width="5.7109375" customWidth="1"/>
    <col min="16" max="16" width="6.5703125" customWidth="1"/>
    <col min="17" max="17" width="8.28515625" customWidth="1"/>
    <col min="18" max="18" width="7.28515625" customWidth="1"/>
    <col min="19" max="19" width="6.140625" customWidth="1"/>
    <col min="34" max="34" width="15" bestFit="1" customWidth="1"/>
  </cols>
  <sheetData>
    <row r="1" spans="1:34" x14ac:dyDescent="0.25">
      <c r="A1" s="82"/>
      <c r="B1" s="82"/>
      <c r="C1" s="82"/>
      <c r="H1" s="5"/>
    </row>
    <row r="2" spans="1:34" ht="15.75" thickBot="1" x14ac:dyDescent="0.3">
      <c r="A2" s="82"/>
      <c r="B2" s="82"/>
      <c r="C2" s="82"/>
      <c r="H2" s="5"/>
    </row>
    <row r="3" spans="1:34" x14ac:dyDescent="0.25">
      <c r="A3" s="82"/>
      <c r="B3" s="82"/>
      <c r="C3" s="82"/>
      <c r="D3" s="83" t="s">
        <v>165</v>
      </c>
      <c r="E3" s="84"/>
      <c r="F3" s="84"/>
      <c r="G3" s="84"/>
      <c r="H3" s="84"/>
      <c r="I3" s="85"/>
    </row>
    <row r="4" spans="1:34" ht="15" customHeight="1" thickBot="1" x14ac:dyDescent="0.3">
      <c r="A4" s="82"/>
      <c r="B4" s="82"/>
      <c r="C4" s="82"/>
      <c r="D4" s="86"/>
      <c r="E4" s="87"/>
      <c r="F4" s="87"/>
      <c r="G4" s="87"/>
      <c r="H4" s="87"/>
      <c r="I4" s="88"/>
    </row>
    <row r="5" spans="1:34" ht="15" customHeight="1" x14ac:dyDescent="0.25">
      <c r="A5" s="82"/>
      <c r="B5" s="82"/>
      <c r="C5" s="82"/>
      <c r="H5" s="5"/>
    </row>
    <row r="6" spans="1:34" x14ac:dyDescent="0.25">
      <c r="A6" s="82"/>
      <c r="B6" s="82"/>
      <c r="C6" s="82"/>
      <c r="H6" s="5"/>
    </row>
    <row r="7" spans="1:34" x14ac:dyDescent="0.25">
      <c r="A7" s="82"/>
      <c r="B7" s="82"/>
      <c r="C7" s="82"/>
      <c r="H7" s="5"/>
    </row>
    <row r="8" spans="1:34" x14ac:dyDescent="0.25">
      <c r="F8" s="12" t="s">
        <v>29</v>
      </c>
      <c r="G8" s="89"/>
      <c r="H8" s="52"/>
      <c r="I8" s="52"/>
      <c r="J8" s="3"/>
    </row>
    <row r="9" spans="1:34" ht="15.75" x14ac:dyDescent="0.25">
      <c r="A9" s="90" t="s">
        <v>0</v>
      </c>
      <c r="B9" s="90"/>
      <c r="C9" s="90"/>
      <c r="D9" s="90"/>
      <c r="E9" s="90"/>
      <c r="F9" s="90"/>
      <c r="G9" s="90"/>
      <c r="H9" s="90"/>
      <c r="I9" s="90"/>
    </row>
    <row r="10" spans="1:34" x14ac:dyDescent="0.25">
      <c r="A10" s="2" t="s">
        <v>1</v>
      </c>
      <c r="B10" s="91" t="s">
        <v>133</v>
      </c>
      <c r="C10" s="91"/>
      <c r="D10" s="91"/>
      <c r="E10" s="91"/>
      <c r="F10" s="91"/>
      <c r="G10" s="91"/>
      <c r="H10" s="91"/>
      <c r="I10" s="91"/>
    </row>
    <row r="11" spans="1:34" x14ac:dyDescent="0.25">
      <c r="A11" s="2" t="s">
        <v>3</v>
      </c>
      <c r="B11" s="91" t="s">
        <v>39</v>
      </c>
      <c r="C11" s="91"/>
      <c r="D11" s="91"/>
      <c r="E11" s="91"/>
      <c r="F11" s="91"/>
      <c r="G11" s="91"/>
      <c r="H11" s="91"/>
      <c r="I11" s="91"/>
    </row>
    <row r="12" spans="1:34" x14ac:dyDescent="0.25">
      <c r="A12" s="2" t="s">
        <v>2</v>
      </c>
      <c r="B12" s="91" t="s">
        <v>41</v>
      </c>
      <c r="C12" s="91"/>
      <c r="D12" s="91"/>
      <c r="E12" s="91"/>
      <c r="F12" s="91"/>
      <c r="G12" s="91"/>
      <c r="H12" s="91"/>
      <c r="I12" s="91"/>
    </row>
    <row r="13" spans="1:34" x14ac:dyDescent="0.25">
      <c r="H13" s="5"/>
      <c r="AH13" s="1" t="s">
        <v>6</v>
      </c>
    </row>
    <row r="14" spans="1:34" x14ac:dyDescent="0.25">
      <c r="H14" s="5"/>
      <c r="J14" t="s">
        <v>26</v>
      </c>
      <c r="AH14" s="1" t="s">
        <v>7</v>
      </c>
    </row>
    <row r="15" spans="1:34" ht="15.75" x14ac:dyDescent="0.25">
      <c r="A15" s="90" t="s">
        <v>4</v>
      </c>
      <c r="B15" s="90"/>
      <c r="C15" s="90"/>
      <c r="D15" s="90"/>
      <c r="E15" s="90"/>
      <c r="F15" s="90"/>
      <c r="G15" s="90"/>
      <c r="H15" s="90"/>
      <c r="I15" s="90"/>
      <c r="AH15" s="1" t="s">
        <v>8</v>
      </c>
    </row>
    <row r="16" spans="1:34" x14ac:dyDescent="0.25">
      <c r="A16" s="2" t="s">
        <v>1</v>
      </c>
      <c r="B16" s="91" t="s">
        <v>106</v>
      </c>
      <c r="C16" s="91"/>
      <c r="D16" s="91"/>
      <c r="E16" s="91"/>
      <c r="F16" s="91"/>
      <c r="G16" s="91"/>
      <c r="H16" s="91"/>
      <c r="I16" s="91"/>
      <c r="AH16" s="1" t="s">
        <v>9</v>
      </c>
    </row>
    <row r="17" spans="1:34" x14ac:dyDescent="0.25">
      <c r="A17" s="2" t="s">
        <v>5</v>
      </c>
      <c r="B17" s="48" t="s">
        <v>94</v>
      </c>
      <c r="C17" s="49"/>
      <c r="D17" s="49"/>
      <c r="H17" s="5"/>
      <c r="AH17" s="1" t="s">
        <v>10</v>
      </c>
    </row>
    <row r="18" spans="1:34" x14ac:dyDescent="0.25">
      <c r="B18" s="5"/>
      <c r="C18" s="5"/>
      <c r="D18" s="5"/>
      <c r="H18" s="5"/>
      <c r="AH18" s="1"/>
    </row>
    <row r="19" spans="1:34" ht="15.75" thickBot="1" x14ac:dyDescent="0.3">
      <c r="A19" t="s">
        <v>33</v>
      </c>
      <c r="H19" s="5"/>
      <c r="AH19" s="1"/>
    </row>
    <row r="20" spans="1:34" ht="16.5" thickBot="1" x14ac:dyDescent="0.3">
      <c r="A20" s="93" t="s">
        <v>12</v>
      </c>
      <c r="B20" s="93"/>
      <c r="C20" s="93"/>
      <c r="D20" s="93"/>
      <c r="E20" s="93"/>
      <c r="F20" s="93"/>
      <c r="G20" s="4"/>
      <c r="H20" s="81" t="s">
        <v>11</v>
      </c>
      <c r="I20" s="81"/>
      <c r="K20" s="70" t="s">
        <v>30</v>
      </c>
      <c r="L20" s="71"/>
      <c r="M20" s="71"/>
      <c r="N20" s="71"/>
      <c r="O20" s="72"/>
    </row>
    <row r="21" spans="1:34" ht="15.75" x14ac:dyDescent="0.25">
      <c r="A21" s="93"/>
      <c r="B21" s="93"/>
      <c r="C21" s="93"/>
      <c r="D21" s="93"/>
      <c r="E21" s="93"/>
      <c r="F21" s="93"/>
      <c r="G21" s="4"/>
      <c r="H21" s="73" t="s">
        <v>27</v>
      </c>
      <c r="I21" s="73" t="s">
        <v>28</v>
      </c>
      <c r="K21" s="75">
        <v>1</v>
      </c>
      <c r="L21" s="52">
        <v>2</v>
      </c>
      <c r="M21" s="75">
        <v>3</v>
      </c>
      <c r="N21" s="75">
        <v>4</v>
      </c>
      <c r="O21" s="75">
        <v>5</v>
      </c>
    </row>
    <row r="22" spans="1:34" ht="16.5" thickBot="1" x14ac:dyDescent="0.3">
      <c r="A22" s="93"/>
      <c r="B22" s="93"/>
      <c r="C22" s="93"/>
      <c r="D22" s="93"/>
      <c r="E22" s="93"/>
      <c r="F22" s="93"/>
      <c r="G22" s="4"/>
      <c r="H22" s="74"/>
      <c r="I22" s="74"/>
      <c r="K22" s="76"/>
      <c r="L22" s="77"/>
      <c r="M22" s="78"/>
      <c r="N22" s="79"/>
      <c r="O22" s="80"/>
    </row>
    <row r="23" spans="1:34" ht="17.25" thickTop="1" thickBot="1" x14ac:dyDescent="0.3">
      <c r="A23" s="57" t="s">
        <v>146</v>
      </c>
      <c r="B23" s="57"/>
      <c r="C23" s="57"/>
      <c r="D23" s="57"/>
      <c r="E23" s="57"/>
      <c r="F23" s="57"/>
      <c r="H23" s="5"/>
      <c r="I23" s="5"/>
      <c r="K23" s="10"/>
      <c r="L23" s="10"/>
      <c r="M23" s="13"/>
      <c r="N23" s="13"/>
      <c r="O23" s="13"/>
    </row>
    <row r="24" spans="1:34" ht="15" customHeight="1" thickBot="1" x14ac:dyDescent="0.3">
      <c r="A24" s="92" t="s">
        <v>150</v>
      </c>
      <c r="B24" s="92"/>
      <c r="C24" s="92"/>
      <c r="D24" s="92"/>
      <c r="E24" s="92"/>
      <c r="F24" s="92"/>
      <c r="H24" s="17">
        <v>0</v>
      </c>
      <c r="I24" s="17">
        <f>AVERAGE(H24)</f>
        <v>0</v>
      </c>
      <c r="K24" s="60" t="s">
        <v>31</v>
      </c>
      <c r="L24" s="61"/>
      <c r="M24" s="61"/>
      <c r="N24" s="61"/>
      <c r="O24" s="61"/>
      <c r="P24" s="61"/>
      <c r="Q24" s="61"/>
      <c r="R24" s="61"/>
      <c r="S24" s="61"/>
      <c r="T24" s="65" t="s">
        <v>32</v>
      </c>
    </row>
    <row r="25" spans="1:34" ht="26.25" customHeight="1" thickBot="1" x14ac:dyDescent="0.3">
      <c r="H25" s="5">
        <f>SUM(H24:H24)</f>
        <v>0</v>
      </c>
      <c r="I25" s="5"/>
      <c r="K25" s="31">
        <v>1</v>
      </c>
      <c r="L25" s="28">
        <v>2</v>
      </c>
      <c r="M25" s="25">
        <v>3</v>
      </c>
      <c r="N25" s="26">
        <v>4</v>
      </c>
      <c r="O25" s="28">
        <v>5</v>
      </c>
      <c r="P25" s="27">
        <v>6</v>
      </c>
      <c r="Q25" s="30">
        <v>7</v>
      </c>
      <c r="R25" s="27">
        <v>8</v>
      </c>
      <c r="S25" s="29">
        <v>9</v>
      </c>
      <c r="T25" s="66"/>
    </row>
    <row r="26" spans="1:34" ht="15.75" x14ac:dyDescent="0.25">
      <c r="A26" s="57" t="s">
        <v>147</v>
      </c>
      <c r="B26" s="57"/>
      <c r="C26" s="57"/>
      <c r="D26" s="57"/>
      <c r="E26" s="57"/>
      <c r="F26" s="57"/>
      <c r="H26" s="5"/>
      <c r="I26" s="5"/>
      <c r="K26" s="13">
        <f>I24</f>
        <v>0</v>
      </c>
      <c r="L26" s="13">
        <f>I27</f>
        <v>0</v>
      </c>
      <c r="M26" s="13">
        <f>I33</f>
        <v>0</v>
      </c>
      <c r="N26" s="13">
        <f>I37</f>
        <v>0</v>
      </c>
      <c r="O26" s="13">
        <f>I46</f>
        <v>0</v>
      </c>
      <c r="P26" s="15">
        <f>I46</f>
        <v>0</v>
      </c>
      <c r="Q26" s="15">
        <f>I49</f>
        <v>0</v>
      </c>
      <c r="R26" s="15">
        <f>I52</f>
        <v>0</v>
      </c>
      <c r="S26" s="15">
        <f>I56</f>
        <v>0</v>
      </c>
      <c r="T26" s="5">
        <f>AVERAGE(K26:S26)</f>
        <v>0</v>
      </c>
    </row>
    <row r="27" spans="1:34" x14ac:dyDescent="0.25">
      <c r="A27" s="67" t="s">
        <v>164</v>
      </c>
      <c r="B27" s="68"/>
      <c r="C27" s="68"/>
      <c r="D27" s="68"/>
      <c r="E27" s="68"/>
      <c r="F27" s="69"/>
      <c r="H27" s="17">
        <v>0</v>
      </c>
      <c r="I27" s="44">
        <f>AVERAGE(H27:H30)</f>
        <v>0</v>
      </c>
      <c r="K27" s="10"/>
      <c r="L27" s="10"/>
      <c r="M27" s="13"/>
      <c r="N27" s="13"/>
      <c r="O27" s="13"/>
    </row>
    <row r="28" spans="1:34" ht="32.25" customHeight="1" x14ac:dyDescent="0.25">
      <c r="A28" s="62" t="s">
        <v>79</v>
      </c>
      <c r="B28" s="63"/>
      <c r="C28" s="63"/>
      <c r="D28" s="63"/>
      <c r="E28" s="63"/>
      <c r="F28" s="64"/>
      <c r="H28" s="17">
        <v>0</v>
      </c>
      <c r="I28" s="44"/>
      <c r="K28" s="10"/>
      <c r="L28" s="10"/>
      <c r="M28" s="13"/>
      <c r="N28" s="13"/>
      <c r="O28" s="13"/>
    </row>
    <row r="29" spans="1:34" ht="30.75" customHeight="1" x14ac:dyDescent="0.25">
      <c r="A29" s="62" t="s">
        <v>80</v>
      </c>
      <c r="B29" s="63"/>
      <c r="C29" s="63"/>
      <c r="D29" s="63"/>
      <c r="E29" s="63"/>
      <c r="F29" s="64"/>
      <c r="H29" s="17">
        <v>0</v>
      </c>
      <c r="I29" s="44"/>
      <c r="K29" s="10"/>
      <c r="L29" s="10"/>
      <c r="M29" s="13"/>
      <c r="N29" s="13"/>
      <c r="O29" s="13"/>
    </row>
    <row r="30" spans="1:34" ht="31.5" customHeight="1" x14ac:dyDescent="0.25">
      <c r="A30" s="58" t="s">
        <v>81</v>
      </c>
      <c r="B30" s="58"/>
      <c r="C30" s="58"/>
      <c r="D30" s="58"/>
      <c r="E30" s="58"/>
      <c r="F30" s="58"/>
      <c r="H30" s="17">
        <v>0</v>
      </c>
      <c r="I30" s="44"/>
      <c r="K30" s="10"/>
      <c r="L30" s="10"/>
      <c r="M30" s="13"/>
      <c r="N30" s="13"/>
      <c r="O30" s="13"/>
    </row>
    <row r="31" spans="1:34" x14ac:dyDescent="0.25">
      <c r="H31" s="5">
        <f>SUM(H27:H30)</f>
        <v>0</v>
      </c>
      <c r="I31" s="5"/>
      <c r="K31" s="10"/>
      <c r="L31" s="10"/>
      <c r="M31" s="13"/>
      <c r="N31" s="13"/>
      <c r="O31" s="13"/>
    </row>
    <row r="32" spans="1:34" ht="15.75" x14ac:dyDescent="0.25">
      <c r="A32" s="57" t="s">
        <v>148</v>
      </c>
      <c r="B32" s="57"/>
      <c r="C32" s="57"/>
      <c r="D32" s="57"/>
      <c r="E32" s="57"/>
      <c r="F32" s="57"/>
      <c r="H32" s="5"/>
      <c r="I32" s="5"/>
      <c r="K32" s="10"/>
      <c r="L32" s="10"/>
      <c r="M32" s="13"/>
      <c r="N32" s="13"/>
      <c r="O32" s="13"/>
    </row>
    <row r="33" spans="1:15" ht="32.25" customHeight="1" x14ac:dyDescent="0.25">
      <c r="A33" s="58" t="s">
        <v>151</v>
      </c>
      <c r="B33" s="59"/>
      <c r="C33" s="59"/>
      <c r="D33" s="59"/>
      <c r="E33" s="59"/>
      <c r="F33" s="59"/>
      <c r="H33" s="17">
        <v>0</v>
      </c>
      <c r="I33" s="44">
        <f>AVERAGE(H33:H34)</f>
        <v>0</v>
      </c>
      <c r="K33" s="10"/>
      <c r="L33" s="10"/>
      <c r="M33" s="13"/>
      <c r="N33" s="13"/>
      <c r="O33" s="13"/>
    </row>
    <row r="34" spans="1:15" ht="30.75" customHeight="1" x14ac:dyDescent="0.25">
      <c r="A34" s="62" t="s">
        <v>82</v>
      </c>
      <c r="B34" s="63"/>
      <c r="C34" s="63"/>
      <c r="D34" s="63"/>
      <c r="E34" s="63"/>
      <c r="F34" s="64"/>
      <c r="H34" s="17">
        <v>0</v>
      </c>
      <c r="I34" s="44"/>
      <c r="K34" s="10"/>
      <c r="L34" s="10"/>
      <c r="M34" s="13"/>
      <c r="N34" s="13"/>
      <c r="O34" s="13"/>
    </row>
    <row r="35" spans="1:15" x14ac:dyDescent="0.25">
      <c r="A35" s="8"/>
      <c r="B35" s="14"/>
      <c r="C35" s="14"/>
      <c r="D35" s="14"/>
      <c r="E35" s="14"/>
      <c r="F35" s="14"/>
      <c r="H35" s="5">
        <f>SUM(H33:H34)</f>
        <v>0</v>
      </c>
      <c r="I35" s="5"/>
      <c r="K35" s="10"/>
      <c r="L35" s="10"/>
      <c r="M35" s="13"/>
      <c r="N35" s="13"/>
      <c r="O35" s="13"/>
    </row>
    <row r="36" spans="1:15" ht="15.75" x14ac:dyDescent="0.25">
      <c r="A36" s="57" t="s">
        <v>149</v>
      </c>
      <c r="B36" s="57"/>
      <c r="C36" s="57"/>
      <c r="D36" s="57"/>
      <c r="E36" s="57"/>
      <c r="F36" s="57"/>
      <c r="H36" s="5"/>
      <c r="I36" s="5"/>
      <c r="K36" s="10"/>
      <c r="L36" s="10"/>
      <c r="M36" s="13"/>
      <c r="N36" s="13"/>
      <c r="O36" s="13"/>
    </row>
    <row r="37" spans="1:15" ht="30.75" customHeight="1" x14ac:dyDescent="0.25">
      <c r="A37" s="62" t="s">
        <v>83</v>
      </c>
      <c r="B37" s="63"/>
      <c r="C37" s="63"/>
      <c r="D37" s="63"/>
      <c r="E37" s="63"/>
      <c r="F37" s="64"/>
      <c r="H37" s="17">
        <v>0</v>
      </c>
      <c r="I37" s="44">
        <f>AVERAGE(H37:H42)</f>
        <v>0</v>
      </c>
      <c r="K37" s="10"/>
      <c r="L37" s="10"/>
      <c r="M37" s="13"/>
      <c r="N37" s="13"/>
      <c r="O37" s="13"/>
    </row>
    <row r="38" spans="1:15" ht="31.5" customHeight="1" x14ac:dyDescent="0.25">
      <c r="A38" s="62" t="s">
        <v>84</v>
      </c>
      <c r="B38" s="63"/>
      <c r="C38" s="63"/>
      <c r="D38" s="63"/>
      <c r="E38" s="63"/>
      <c r="F38" s="64"/>
      <c r="H38" s="17">
        <v>0</v>
      </c>
      <c r="I38" s="44"/>
      <c r="K38" s="10"/>
      <c r="L38" s="10"/>
      <c r="M38" s="13"/>
      <c r="N38" s="13"/>
      <c r="O38" s="13"/>
    </row>
    <row r="39" spans="1:15" ht="30.75" customHeight="1" x14ac:dyDescent="0.25">
      <c r="A39" s="116" t="s">
        <v>85</v>
      </c>
      <c r="B39" s="117"/>
      <c r="C39" s="117"/>
      <c r="D39" s="117"/>
      <c r="E39" s="117"/>
      <c r="F39" s="118"/>
      <c r="H39" s="17">
        <v>0</v>
      </c>
      <c r="I39" s="44"/>
      <c r="K39" s="10"/>
      <c r="L39" s="10"/>
      <c r="M39" s="13"/>
      <c r="N39" s="13"/>
      <c r="O39" s="13"/>
    </row>
    <row r="40" spans="1:15" ht="30.75" customHeight="1" x14ac:dyDescent="0.25">
      <c r="A40" s="62" t="s">
        <v>86</v>
      </c>
      <c r="B40" s="63"/>
      <c r="C40" s="63"/>
      <c r="D40" s="63"/>
      <c r="E40" s="63"/>
      <c r="F40" s="64"/>
      <c r="H40" s="17">
        <v>0</v>
      </c>
      <c r="I40" s="44"/>
      <c r="K40" s="10"/>
      <c r="L40" s="10"/>
      <c r="M40" s="13"/>
      <c r="N40" s="13"/>
      <c r="O40" s="13"/>
    </row>
    <row r="41" spans="1:15" ht="32.25" customHeight="1" x14ac:dyDescent="0.25">
      <c r="A41" s="62" t="s">
        <v>87</v>
      </c>
      <c r="B41" s="63"/>
      <c r="C41" s="63"/>
      <c r="D41" s="63"/>
      <c r="E41" s="63"/>
      <c r="F41" s="64"/>
      <c r="H41" s="17">
        <v>0</v>
      </c>
      <c r="I41" s="44"/>
      <c r="K41" s="10"/>
      <c r="L41" s="10"/>
      <c r="M41" s="13"/>
      <c r="N41" s="13"/>
      <c r="O41" s="13"/>
    </row>
    <row r="42" spans="1:15" ht="34.5" customHeight="1" x14ac:dyDescent="0.25">
      <c r="A42" s="58" t="s">
        <v>88</v>
      </c>
      <c r="B42" s="58"/>
      <c r="C42" s="58"/>
      <c r="D42" s="58"/>
      <c r="E42" s="58"/>
      <c r="F42" s="58"/>
      <c r="H42" s="17">
        <v>0</v>
      </c>
      <c r="I42" s="44"/>
      <c r="K42" s="10"/>
      <c r="L42" s="10"/>
      <c r="M42" s="13"/>
      <c r="N42" s="13"/>
      <c r="O42" s="13"/>
    </row>
    <row r="43" spans="1:15" x14ac:dyDescent="0.25">
      <c r="A43" s="5"/>
      <c r="B43" s="5"/>
      <c r="C43" s="5"/>
      <c r="D43" s="5"/>
      <c r="E43" s="5"/>
      <c r="F43" s="5"/>
      <c r="H43" s="5">
        <f>SUM(H37:H42)</f>
        <v>0</v>
      </c>
      <c r="K43" s="10"/>
      <c r="L43" s="10"/>
      <c r="M43" s="13"/>
      <c r="N43" s="13"/>
      <c r="O43" s="13"/>
    </row>
    <row r="44" spans="1:15" x14ac:dyDescent="0.25">
      <c r="A44" s="5"/>
      <c r="B44" s="5"/>
      <c r="C44" s="5"/>
      <c r="D44" s="5"/>
      <c r="E44" s="5"/>
      <c r="F44" s="5"/>
      <c r="H44" s="5"/>
      <c r="K44" s="10"/>
      <c r="L44" s="10"/>
      <c r="M44" s="13"/>
      <c r="N44" s="13"/>
      <c r="O44" s="13"/>
    </row>
    <row r="45" spans="1:15" ht="15.75" x14ac:dyDescent="0.25">
      <c r="A45" s="57" t="s">
        <v>152</v>
      </c>
      <c r="B45" s="57"/>
      <c r="C45" s="57"/>
      <c r="D45" s="57"/>
      <c r="E45" s="57"/>
      <c r="F45" s="57"/>
      <c r="H45" s="5"/>
      <c r="I45" s="5"/>
      <c r="K45" s="10"/>
      <c r="L45" s="10"/>
      <c r="M45" s="13"/>
      <c r="N45" s="13"/>
      <c r="O45" s="13"/>
    </row>
    <row r="46" spans="1:15" ht="30" customHeight="1" x14ac:dyDescent="0.25">
      <c r="A46" s="58" t="s">
        <v>89</v>
      </c>
      <c r="B46" s="58"/>
      <c r="C46" s="58"/>
      <c r="D46" s="58"/>
      <c r="E46" s="58"/>
      <c r="F46" s="58"/>
      <c r="H46" s="17">
        <v>0</v>
      </c>
      <c r="I46" s="17">
        <f>AVERAGE(H46:H46)</f>
        <v>0</v>
      </c>
      <c r="K46" s="10"/>
      <c r="L46" s="10"/>
      <c r="M46" s="13"/>
      <c r="N46" s="13"/>
      <c r="O46" s="13"/>
    </row>
    <row r="47" spans="1:15" x14ac:dyDescent="0.25">
      <c r="A47" s="5"/>
      <c r="B47" s="5"/>
      <c r="C47" s="5"/>
      <c r="D47" s="5"/>
      <c r="E47" s="5"/>
      <c r="F47" s="5"/>
      <c r="H47" s="5">
        <f>SUM(H46:H46)</f>
        <v>0</v>
      </c>
      <c r="K47" s="10"/>
      <c r="L47" s="10"/>
      <c r="M47" s="13"/>
      <c r="N47" s="13"/>
      <c r="O47" s="13"/>
    </row>
    <row r="48" spans="1:15" ht="15.75" x14ac:dyDescent="0.25">
      <c r="A48" s="57" t="s">
        <v>153</v>
      </c>
      <c r="B48" s="57"/>
      <c r="C48" s="57"/>
      <c r="D48" s="57"/>
      <c r="E48" s="57"/>
      <c r="F48" s="57"/>
      <c r="H48" s="5"/>
      <c r="I48" s="5"/>
      <c r="K48" s="10"/>
      <c r="L48" s="10"/>
      <c r="M48" s="13"/>
      <c r="N48" s="13"/>
      <c r="O48" s="13"/>
    </row>
    <row r="49" spans="1:15" x14ac:dyDescent="0.25">
      <c r="A49" s="59" t="s">
        <v>90</v>
      </c>
      <c r="B49" s="59"/>
      <c r="C49" s="59"/>
      <c r="D49" s="59"/>
      <c r="E49" s="59"/>
      <c r="F49" s="59"/>
      <c r="H49" s="17">
        <v>0</v>
      </c>
      <c r="I49" s="17">
        <f>AVERAGE(H49:H49)</f>
        <v>0</v>
      </c>
      <c r="K49" s="10"/>
      <c r="L49" s="10"/>
      <c r="M49" s="13"/>
      <c r="N49" s="13"/>
      <c r="O49" s="13"/>
    </row>
    <row r="50" spans="1:15" x14ac:dyDescent="0.25">
      <c r="A50" s="5"/>
      <c r="B50" s="5"/>
      <c r="C50" s="5"/>
      <c r="D50" s="5"/>
      <c r="E50" s="5"/>
      <c r="F50" s="5"/>
      <c r="H50" s="5">
        <f>SUM(H49:H49)</f>
        <v>0</v>
      </c>
      <c r="K50" s="10"/>
      <c r="L50" s="10"/>
      <c r="M50" s="13"/>
      <c r="N50" s="13"/>
      <c r="O50" s="13"/>
    </row>
    <row r="51" spans="1:15" ht="15.75" x14ac:dyDescent="0.25">
      <c r="A51" s="57" t="s">
        <v>154</v>
      </c>
      <c r="B51" s="57"/>
      <c r="C51" s="57"/>
      <c r="D51" s="57"/>
      <c r="E51" s="57"/>
      <c r="F51" s="57"/>
      <c r="H51" s="5"/>
      <c r="I51" s="5"/>
      <c r="K51" s="10"/>
      <c r="L51" s="10"/>
      <c r="M51" s="13"/>
      <c r="N51" s="13"/>
      <c r="O51" s="13"/>
    </row>
    <row r="52" spans="1:15" ht="31.5" customHeight="1" x14ac:dyDescent="0.25">
      <c r="A52" s="58" t="s">
        <v>91</v>
      </c>
      <c r="B52" s="58"/>
      <c r="C52" s="58"/>
      <c r="D52" s="58"/>
      <c r="E52" s="58"/>
      <c r="F52" s="58"/>
      <c r="H52" s="17">
        <v>0</v>
      </c>
      <c r="I52" s="44">
        <f>AVERAGE(H52:H53)</f>
        <v>0</v>
      </c>
      <c r="K52" s="10"/>
      <c r="L52" s="10"/>
      <c r="M52" s="13"/>
      <c r="N52" s="13"/>
      <c r="O52" s="13"/>
    </row>
    <row r="53" spans="1:15" x14ac:dyDescent="0.25">
      <c r="A53" s="59" t="s">
        <v>92</v>
      </c>
      <c r="B53" s="59"/>
      <c r="C53" s="59"/>
      <c r="D53" s="59"/>
      <c r="E53" s="59"/>
      <c r="F53" s="59"/>
      <c r="H53" s="17">
        <v>0</v>
      </c>
      <c r="I53" s="44"/>
      <c r="K53" s="10"/>
      <c r="L53" s="10"/>
      <c r="M53" s="13"/>
      <c r="N53" s="13"/>
      <c r="O53" s="13"/>
    </row>
    <row r="54" spans="1:15" x14ac:dyDescent="0.25">
      <c r="H54" s="5">
        <f>SUM(H52:H52)</f>
        <v>0</v>
      </c>
      <c r="I54" s="5"/>
      <c r="K54" s="10"/>
      <c r="L54" s="10"/>
      <c r="M54" s="13"/>
      <c r="N54" s="13"/>
      <c r="O54" s="13"/>
    </row>
    <row r="55" spans="1:15" ht="15.75" x14ac:dyDescent="0.25">
      <c r="A55" s="57" t="s">
        <v>155</v>
      </c>
      <c r="B55" s="57"/>
      <c r="C55" s="57"/>
      <c r="D55" s="57"/>
      <c r="E55" s="57"/>
      <c r="F55" s="57"/>
      <c r="H55" s="5"/>
      <c r="I55" s="5"/>
      <c r="K55" s="10"/>
      <c r="L55" s="10"/>
      <c r="M55" s="13"/>
      <c r="N55" s="13"/>
      <c r="O55" s="13"/>
    </row>
    <row r="56" spans="1:15" ht="17.25" customHeight="1" x14ac:dyDescent="0.25">
      <c r="A56" s="58" t="s">
        <v>93</v>
      </c>
      <c r="B56" s="58"/>
      <c r="C56" s="58"/>
      <c r="D56" s="58"/>
      <c r="E56" s="58"/>
      <c r="F56" s="58"/>
      <c r="H56" s="17">
        <v>0</v>
      </c>
      <c r="I56" s="17">
        <f>AVERAGE(H56:H56)</f>
        <v>0</v>
      </c>
      <c r="K56" s="10"/>
      <c r="L56" s="10"/>
      <c r="M56" s="13"/>
      <c r="N56" s="13"/>
      <c r="O56" s="13"/>
    </row>
    <row r="57" spans="1:15" x14ac:dyDescent="0.25">
      <c r="H57" s="5">
        <f>SUM(H56)</f>
        <v>0</v>
      </c>
      <c r="I57" s="5"/>
      <c r="K57" s="10"/>
      <c r="L57" s="10"/>
      <c r="M57" s="13"/>
      <c r="N57" s="13"/>
      <c r="O57" s="13"/>
    </row>
    <row r="58" spans="1:15" ht="15.75" thickBot="1" x14ac:dyDescent="0.3">
      <c r="H58" s="5"/>
    </row>
    <row r="59" spans="1:15" ht="15.75" thickBot="1" x14ac:dyDescent="0.3">
      <c r="A59" s="36" t="s">
        <v>13</v>
      </c>
      <c r="B59" s="36"/>
      <c r="C59" s="36"/>
      <c r="D59" s="36"/>
      <c r="E59" s="36"/>
      <c r="F59" s="37"/>
      <c r="H59" s="5"/>
    </row>
    <row r="60" spans="1:15" x14ac:dyDescent="0.25">
      <c r="A60" s="35" t="s">
        <v>16</v>
      </c>
      <c r="B60" s="35"/>
      <c r="C60" s="35"/>
      <c r="D60" s="35"/>
      <c r="E60" s="35"/>
      <c r="F60" s="35"/>
      <c r="H60" s="5"/>
    </row>
    <row r="61" spans="1:15" x14ac:dyDescent="0.25">
      <c r="A61" s="44" t="s">
        <v>14</v>
      </c>
      <c r="B61" s="45"/>
      <c r="C61" s="45"/>
      <c r="D61" s="45"/>
      <c r="E61" s="45"/>
      <c r="F61" s="45"/>
      <c r="H61" s="5"/>
    </row>
    <row r="62" spans="1:15" x14ac:dyDescent="0.25">
      <c r="A62" s="44"/>
      <c r="B62" s="45"/>
      <c r="C62" s="45"/>
      <c r="D62" s="45"/>
      <c r="E62" s="45"/>
      <c r="F62" s="45"/>
      <c r="G62" s="6"/>
      <c r="H62" s="6"/>
      <c r="I62" s="6"/>
    </row>
    <row r="63" spans="1:15" x14ac:dyDescent="0.25">
      <c r="A63" s="44"/>
      <c r="B63" s="45"/>
      <c r="C63" s="45"/>
      <c r="D63" s="45"/>
      <c r="E63" s="45"/>
      <c r="F63" s="45"/>
      <c r="G63" s="5"/>
      <c r="H63" s="5"/>
      <c r="I63" s="5"/>
    </row>
    <row r="64" spans="1:15" x14ac:dyDescent="0.25">
      <c r="A64" s="44"/>
      <c r="B64" s="45"/>
      <c r="C64" s="45"/>
      <c r="D64" s="45"/>
      <c r="E64" s="45"/>
      <c r="F64" s="45"/>
      <c r="G64" s="5"/>
      <c r="H64" s="5"/>
      <c r="I64" s="5"/>
    </row>
    <row r="65" spans="1:9" x14ac:dyDescent="0.25">
      <c r="A65" s="44"/>
      <c r="B65" s="46"/>
      <c r="C65" s="46"/>
      <c r="D65" s="46"/>
      <c r="E65" s="46"/>
      <c r="F65" s="46"/>
      <c r="G65" s="5"/>
      <c r="H65" s="5"/>
      <c r="I65" s="5"/>
    </row>
    <row r="66" spans="1:9" x14ac:dyDescent="0.25">
      <c r="A66" s="47" t="s">
        <v>15</v>
      </c>
      <c r="B66" s="48"/>
      <c r="C66" s="49"/>
      <c r="D66" s="49"/>
      <c r="E66" s="49"/>
      <c r="F66" s="50"/>
      <c r="G66" s="5"/>
      <c r="H66" s="5"/>
      <c r="I66" s="5"/>
    </row>
    <row r="67" spans="1:9" x14ac:dyDescent="0.25">
      <c r="A67" s="47"/>
      <c r="B67" s="51"/>
      <c r="C67" s="52"/>
      <c r="D67" s="52"/>
      <c r="E67" s="52"/>
      <c r="F67" s="53"/>
      <c r="G67" s="5"/>
      <c r="H67" s="5"/>
      <c r="I67" s="5"/>
    </row>
    <row r="68" spans="1:9" x14ac:dyDescent="0.25">
      <c r="A68" s="47"/>
      <c r="B68" s="51"/>
      <c r="C68" s="52"/>
      <c r="D68" s="52"/>
      <c r="E68" s="52"/>
      <c r="F68" s="53"/>
      <c r="G68" s="5"/>
      <c r="H68" s="5"/>
      <c r="I68" s="5"/>
    </row>
    <row r="69" spans="1:9" x14ac:dyDescent="0.25">
      <c r="A69" s="47"/>
      <c r="B69" s="51"/>
      <c r="C69" s="52"/>
      <c r="D69" s="52"/>
      <c r="E69" s="52"/>
      <c r="F69" s="53"/>
      <c r="G69" s="5"/>
      <c r="H69" s="5"/>
      <c r="I69" s="5"/>
    </row>
    <row r="70" spans="1:9" x14ac:dyDescent="0.25">
      <c r="A70" s="47"/>
      <c r="B70" s="54"/>
      <c r="C70" s="35"/>
      <c r="D70" s="35"/>
      <c r="E70" s="35"/>
      <c r="F70" s="55"/>
      <c r="G70" s="5"/>
      <c r="H70" s="5"/>
      <c r="I70" s="5"/>
    </row>
    <row r="71" spans="1:9" x14ac:dyDescent="0.25">
      <c r="G71" s="5"/>
      <c r="H71" s="5"/>
      <c r="I71" s="5"/>
    </row>
    <row r="72" spans="1:9" x14ac:dyDescent="0.25">
      <c r="G72" s="5"/>
      <c r="H72" s="5"/>
      <c r="I72" s="5"/>
    </row>
    <row r="73" spans="1:9" ht="15.75" thickBot="1" x14ac:dyDescent="0.3">
      <c r="A73" s="56" t="s">
        <v>25</v>
      </c>
      <c r="B73" s="56"/>
      <c r="C73" s="56"/>
      <c r="D73" s="56"/>
      <c r="E73" s="56"/>
      <c r="F73" s="56"/>
      <c r="G73" s="5"/>
      <c r="H73" s="5"/>
      <c r="I73" s="5"/>
    </row>
    <row r="74" spans="1:9" x14ac:dyDescent="0.25">
      <c r="A74" s="38"/>
      <c r="B74" s="38"/>
      <c r="C74" s="38"/>
      <c r="D74" s="38"/>
      <c r="E74" s="38"/>
      <c r="F74" s="39"/>
      <c r="H74" s="5"/>
    </row>
    <row r="75" spans="1:9" x14ac:dyDescent="0.25">
      <c r="A75" s="40"/>
      <c r="B75" s="40"/>
      <c r="C75" s="40"/>
      <c r="D75" s="40"/>
      <c r="E75" s="40"/>
      <c r="F75" s="41"/>
      <c r="H75" s="5"/>
    </row>
    <row r="76" spans="1:9" x14ac:dyDescent="0.25">
      <c r="A76" s="40"/>
      <c r="B76" s="40"/>
      <c r="C76" s="40"/>
      <c r="D76" s="40"/>
      <c r="E76" s="40"/>
      <c r="F76" s="41"/>
      <c r="G76" s="7"/>
      <c r="H76" s="7"/>
      <c r="I76" s="7"/>
    </row>
    <row r="77" spans="1:9" x14ac:dyDescent="0.25">
      <c r="A77" s="40"/>
      <c r="B77" s="40"/>
      <c r="C77" s="40"/>
      <c r="D77" s="40"/>
      <c r="E77" s="40"/>
      <c r="F77" s="41"/>
      <c r="G77" s="16"/>
      <c r="H77" s="16"/>
      <c r="I77" s="16"/>
    </row>
    <row r="78" spans="1:9" ht="15.75" thickBot="1" x14ac:dyDescent="0.3">
      <c r="A78" s="42"/>
      <c r="B78" s="42"/>
      <c r="C78" s="42"/>
      <c r="D78" s="42"/>
      <c r="E78" s="42"/>
      <c r="F78" s="43"/>
      <c r="G78" s="16"/>
      <c r="H78" s="16"/>
      <c r="I78" s="16"/>
    </row>
  </sheetData>
  <mergeCells count="60">
    <mergeCell ref="B11:I11"/>
    <mergeCell ref="A29:F29"/>
    <mergeCell ref="A34:F34"/>
    <mergeCell ref="A23:F23"/>
    <mergeCell ref="A24:F24"/>
    <mergeCell ref="A26:F26"/>
    <mergeCell ref="A32:F32"/>
    <mergeCell ref="B12:I12"/>
    <mergeCell ref="A15:I15"/>
    <mergeCell ref="B16:I16"/>
    <mergeCell ref="B17:D17"/>
    <mergeCell ref="A20:F22"/>
    <mergeCell ref="A1:C7"/>
    <mergeCell ref="D3:I4"/>
    <mergeCell ref="G8:I8"/>
    <mergeCell ref="A9:I9"/>
    <mergeCell ref="B10:I10"/>
    <mergeCell ref="K20:O20"/>
    <mergeCell ref="H21:H22"/>
    <mergeCell ref="I21:I22"/>
    <mergeCell ref="K21:K22"/>
    <mergeCell ref="L21:L22"/>
    <mergeCell ref="M21:M22"/>
    <mergeCell ref="N21:N22"/>
    <mergeCell ref="O21:O22"/>
    <mergeCell ref="H20:I20"/>
    <mergeCell ref="T24:T25"/>
    <mergeCell ref="A33:F33"/>
    <mergeCell ref="I33:I34"/>
    <mergeCell ref="A36:F36"/>
    <mergeCell ref="A37:F37"/>
    <mergeCell ref="A27:F27"/>
    <mergeCell ref="A28:F28"/>
    <mergeCell ref="A30:F30"/>
    <mergeCell ref="A45:F45"/>
    <mergeCell ref="A46:F46"/>
    <mergeCell ref="A48:F48"/>
    <mergeCell ref="A52:F52"/>
    <mergeCell ref="K24:S24"/>
    <mergeCell ref="I27:I30"/>
    <mergeCell ref="A42:F42"/>
    <mergeCell ref="I37:I42"/>
    <mergeCell ref="A38:F38"/>
    <mergeCell ref="A39:F39"/>
    <mergeCell ref="A41:F41"/>
    <mergeCell ref="A40:F40"/>
    <mergeCell ref="A55:F55"/>
    <mergeCell ref="A56:F56"/>
    <mergeCell ref="A49:F49"/>
    <mergeCell ref="A53:F53"/>
    <mergeCell ref="I52:I53"/>
    <mergeCell ref="A51:F51"/>
    <mergeCell ref="A60:F60"/>
    <mergeCell ref="A59:F59"/>
    <mergeCell ref="A74:F78"/>
    <mergeCell ref="A61:A65"/>
    <mergeCell ref="B61:F65"/>
    <mergeCell ref="A66:A70"/>
    <mergeCell ref="B66:F70"/>
    <mergeCell ref="A73:F73"/>
  </mergeCells>
  <pageMargins left="0.7" right="0.7" top="0.75" bottom="0.75" header="0.3" footer="0.3"/>
  <pageSetup orientation="portrait" horizontalDpi="4294967295" verticalDpi="4294967295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DATOS!$D$3:$D$52</xm:f>
          </x14:formula1>
          <xm:sqref>B10:I10 B16:I16</xm:sqref>
        </x14:dataValidation>
        <x14:dataValidation type="list" allowBlank="1" showInputMessage="1" showErrorMessage="1" xr:uid="{00000000-0002-0000-0100-000001000000}">
          <x14:formula1>
            <xm:f>DATOS!$B$3:$B$9</xm:f>
          </x14:formula1>
          <xm:sqref>B11:I11</xm:sqref>
        </x14:dataValidation>
        <x14:dataValidation type="list" allowBlank="1" showInputMessage="1" showErrorMessage="1" xr:uid="{00000000-0002-0000-0100-000002000000}">
          <x14:formula1>
            <xm:f>DATOS!$C$3:$C$6</xm:f>
          </x14:formula1>
          <xm:sqref>B12:I12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53"/>
  <sheetViews>
    <sheetView workbookViewId="0">
      <selection activeCell="D14" sqref="D14"/>
    </sheetView>
  </sheetViews>
  <sheetFormatPr baseColWidth="10" defaultRowHeight="15" x14ac:dyDescent="0.25"/>
  <cols>
    <col min="2" max="2" width="17.28515625" bestFit="1" customWidth="1"/>
    <col min="3" max="3" width="12" bestFit="1" customWidth="1"/>
    <col min="4" max="4" width="50" customWidth="1"/>
  </cols>
  <sheetData>
    <row r="3" spans="1:4" x14ac:dyDescent="0.25">
      <c r="A3" s="18">
        <v>43243</v>
      </c>
      <c r="B3" t="s">
        <v>36</v>
      </c>
      <c r="C3" t="s">
        <v>41</v>
      </c>
      <c r="D3" t="s">
        <v>95</v>
      </c>
    </row>
    <row r="4" spans="1:4" x14ac:dyDescent="0.25">
      <c r="B4" t="s">
        <v>37</v>
      </c>
      <c r="C4" t="s">
        <v>42</v>
      </c>
      <c r="D4" t="s">
        <v>96</v>
      </c>
    </row>
    <row r="5" spans="1:4" x14ac:dyDescent="0.25">
      <c r="B5" t="s">
        <v>38</v>
      </c>
      <c r="C5" t="s">
        <v>43</v>
      </c>
      <c r="D5" s="32" t="s">
        <v>97</v>
      </c>
    </row>
    <row r="6" spans="1:4" x14ac:dyDescent="0.25">
      <c r="B6" t="s">
        <v>39</v>
      </c>
      <c r="C6" t="s">
        <v>44</v>
      </c>
      <c r="D6" s="32" t="s">
        <v>98</v>
      </c>
    </row>
    <row r="7" spans="1:4" x14ac:dyDescent="0.25">
      <c r="B7" t="s">
        <v>34</v>
      </c>
      <c r="D7" s="32" t="s">
        <v>99</v>
      </c>
    </row>
    <row r="8" spans="1:4" x14ac:dyDescent="0.25">
      <c r="B8" t="s">
        <v>35</v>
      </c>
      <c r="D8" t="s">
        <v>100</v>
      </c>
    </row>
    <row r="9" spans="1:4" x14ac:dyDescent="0.25">
      <c r="B9" t="s">
        <v>40</v>
      </c>
      <c r="D9" s="32" t="s">
        <v>101</v>
      </c>
    </row>
    <row r="10" spans="1:4" x14ac:dyDescent="0.25">
      <c r="D10" s="32" t="s">
        <v>102</v>
      </c>
    </row>
    <row r="11" spans="1:4" x14ac:dyDescent="0.25">
      <c r="D11" t="s">
        <v>103</v>
      </c>
    </row>
    <row r="12" spans="1:4" x14ac:dyDescent="0.25">
      <c r="D12" s="32" t="s">
        <v>104</v>
      </c>
    </row>
    <row r="13" spans="1:4" x14ac:dyDescent="0.25">
      <c r="D13" t="s">
        <v>105</v>
      </c>
    </row>
    <row r="14" spans="1:4" x14ac:dyDescent="0.25">
      <c r="D14" t="s">
        <v>106</v>
      </c>
    </row>
    <row r="15" spans="1:4" x14ac:dyDescent="0.25">
      <c r="D15" s="32" t="s">
        <v>107</v>
      </c>
    </row>
    <row r="16" spans="1:4" x14ac:dyDescent="0.25">
      <c r="D16" t="s">
        <v>108</v>
      </c>
    </row>
    <row r="17" spans="4:4" x14ac:dyDescent="0.25">
      <c r="D17" t="s">
        <v>109</v>
      </c>
    </row>
    <row r="18" spans="4:4" x14ac:dyDescent="0.25">
      <c r="D18" t="s">
        <v>110</v>
      </c>
    </row>
    <row r="19" spans="4:4" x14ac:dyDescent="0.25">
      <c r="D19" s="32" t="s">
        <v>111</v>
      </c>
    </row>
    <row r="20" spans="4:4" x14ac:dyDescent="0.25">
      <c r="D20" t="s">
        <v>112</v>
      </c>
    </row>
    <row r="21" spans="4:4" x14ac:dyDescent="0.25">
      <c r="D21" t="s">
        <v>113</v>
      </c>
    </row>
    <row r="22" spans="4:4" x14ac:dyDescent="0.25">
      <c r="D22" s="33" t="s">
        <v>114</v>
      </c>
    </row>
    <row r="23" spans="4:4" x14ac:dyDescent="0.25">
      <c r="D23" s="32" t="s">
        <v>115</v>
      </c>
    </row>
    <row r="24" spans="4:4" x14ac:dyDescent="0.25">
      <c r="D24" t="s">
        <v>116</v>
      </c>
    </row>
    <row r="25" spans="4:4" x14ac:dyDescent="0.25">
      <c r="D25" t="s">
        <v>117</v>
      </c>
    </row>
    <row r="26" spans="4:4" x14ac:dyDescent="0.25">
      <c r="D26" t="s">
        <v>118</v>
      </c>
    </row>
    <row r="27" spans="4:4" x14ac:dyDescent="0.25">
      <c r="D27" t="s">
        <v>119</v>
      </c>
    </row>
    <row r="28" spans="4:4" x14ac:dyDescent="0.25">
      <c r="D28" t="s">
        <v>120</v>
      </c>
    </row>
    <row r="29" spans="4:4" x14ac:dyDescent="0.25">
      <c r="D29" t="s">
        <v>121</v>
      </c>
    </row>
    <row r="30" spans="4:4" x14ac:dyDescent="0.25">
      <c r="D30" t="s">
        <v>122</v>
      </c>
    </row>
    <row r="31" spans="4:4" x14ac:dyDescent="0.25">
      <c r="D31" t="s">
        <v>123</v>
      </c>
    </row>
    <row r="32" spans="4:4" x14ac:dyDescent="0.25">
      <c r="D32" t="s">
        <v>124</v>
      </c>
    </row>
    <row r="33" spans="4:4" x14ac:dyDescent="0.25">
      <c r="D33" s="32" t="s">
        <v>125</v>
      </c>
    </row>
    <row r="34" spans="4:4" x14ac:dyDescent="0.25">
      <c r="D34" s="32" t="s">
        <v>126</v>
      </c>
    </row>
    <row r="35" spans="4:4" x14ac:dyDescent="0.25">
      <c r="D35" t="s">
        <v>127</v>
      </c>
    </row>
    <row r="36" spans="4:4" x14ac:dyDescent="0.25">
      <c r="D36" t="s">
        <v>128</v>
      </c>
    </row>
    <row r="37" spans="4:4" x14ac:dyDescent="0.25">
      <c r="D37" t="s">
        <v>129</v>
      </c>
    </row>
    <row r="38" spans="4:4" x14ac:dyDescent="0.25">
      <c r="D38" s="32" t="s">
        <v>130</v>
      </c>
    </row>
    <row r="39" spans="4:4" x14ac:dyDescent="0.25">
      <c r="D39" s="32" t="s">
        <v>131</v>
      </c>
    </row>
    <row r="40" spans="4:4" x14ac:dyDescent="0.25">
      <c r="D40" t="s">
        <v>132</v>
      </c>
    </row>
    <row r="41" spans="4:4" x14ac:dyDescent="0.25">
      <c r="D41" s="32" t="s">
        <v>133</v>
      </c>
    </row>
    <row r="42" spans="4:4" x14ac:dyDescent="0.25">
      <c r="D42" s="32" t="s">
        <v>134</v>
      </c>
    </row>
    <row r="43" spans="4:4" x14ac:dyDescent="0.25">
      <c r="D43" t="s">
        <v>135</v>
      </c>
    </row>
    <row r="44" spans="4:4" x14ac:dyDescent="0.25">
      <c r="D44" t="s">
        <v>136</v>
      </c>
    </row>
    <row r="45" spans="4:4" x14ac:dyDescent="0.25">
      <c r="D45" t="s">
        <v>137</v>
      </c>
    </row>
    <row r="46" spans="4:4" x14ac:dyDescent="0.25">
      <c r="D46" t="s">
        <v>138</v>
      </c>
    </row>
    <row r="47" spans="4:4" x14ac:dyDescent="0.25">
      <c r="D47" t="s">
        <v>139</v>
      </c>
    </row>
    <row r="48" spans="4:4" x14ac:dyDescent="0.25">
      <c r="D48" t="s">
        <v>140</v>
      </c>
    </row>
    <row r="49" spans="4:4" x14ac:dyDescent="0.25">
      <c r="D49" t="s">
        <v>141</v>
      </c>
    </row>
    <row r="50" spans="4:4" x14ac:dyDescent="0.25">
      <c r="D50" s="32" t="s">
        <v>142</v>
      </c>
    </row>
    <row r="51" spans="4:4" x14ac:dyDescent="0.25">
      <c r="D51" t="s">
        <v>143</v>
      </c>
    </row>
    <row r="52" spans="4:4" x14ac:dyDescent="0.25">
      <c r="D52" t="s">
        <v>144</v>
      </c>
    </row>
    <row r="53" spans="4:4" x14ac:dyDescent="0.25">
      <c r="D5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Competencias generales</vt:lpstr>
      <vt:lpstr>Competencias específicas</vt:lpstr>
      <vt:lpstr>DATOS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Tello</dc:creator>
  <cp:lastModifiedBy>Lorenia Rodriguez</cp:lastModifiedBy>
  <dcterms:created xsi:type="dcterms:W3CDTF">2015-05-12T15:38:12Z</dcterms:created>
  <dcterms:modified xsi:type="dcterms:W3CDTF">2026-06-03T17:11:02Z</dcterms:modified>
</cp:coreProperties>
</file>